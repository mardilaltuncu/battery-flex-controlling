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s" sheetId="1" r:id="rId1"/>
    <sheet name="README" sheetId="2" r:id="rId2"/>
    <sheet name="Inputs" sheetId="3" r:id="rId3"/>
    <sheet name="Monthly_Actuals" sheetId="4" r:id="rId4"/>
    <sheet name="Bridge" sheetId="5" r:id="rId5"/>
    <sheet name="Interval_Count" sheetId="6" r:id="rId6"/>
    <sheet name="Recon_Daily" sheetId="7" r:id="rId7"/>
    <sheet name="Break_Register" sheetId="8" r:id="rId8"/>
    <sheet name="Scenarios" sheetId="9" r:id="rId9"/>
    <sheet name="Product_PnL" sheetId="10" r:id="rId10"/>
    <sheet name="Change_Log" sheetId="11" r:id="rId11"/>
  </sheets>
  <definedNames>
    <definedName name="_xlnm._FilterDatabase" localSheetId="7" hidden="1">Break_Register!$A$3:$N$134</definedName>
    <definedName name="_xlnm._FilterDatabase" localSheetId="6" hidden="1">Recon_Daily!$A$3:$I$1098</definedName>
    <definedName name="mat_eur">Inputs!$B$60</definedName>
    <definedName name="mat_pct">Inputs!$B$59</definedName>
    <definedName name="rte">Inputs!$B$8</definedName>
  </definedNames>
  <calcPr calcId="124519" fullCalcOnLoad="1"/>
</workbook>
</file>

<file path=xl/sharedStrings.xml><?xml version="1.0" encoding="utf-8"?>
<sst xmlns="http://schemas.openxmlformats.org/spreadsheetml/2006/main" count="4079" uniqueCount="897">
  <si>
    <t>Flex-optimizer controlling case - Excel deliverable</t>
  </si>
  <si>
    <t>Purpose: interval reconciliation, variance bridge, rolling-forecast scenarios and product profitability for an</t>
  </si>
  <si>
    <t>illustrative battery portfolio. Day-ahead prices are real (Energy-Charts / SMARD, CC BY 4.0); assets, contracts,</t>
  </si>
  <si>
    <t>ledger, exchange statements, schedules, meters, reserve and imbalance prices are synthetic and labelled as such.</t>
  </si>
  <si>
    <t>Sheets: Inputs (all assumptions, blue cells = editable) | Monthly_Actuals | Bridge (live PVM formulas) |</t>
  </si>
  <si>
    <t>Interval_Count (DST-aware day structure) | Recon_Daily | Break_Register | Scenarios | Product_PnL (allocation</t>
  </si>
  <si>
    <t>key switch) | Checks (master flag) | Change_Log.</t>
  </si>
  <si>
    <t>Rule: do not publish any number while Checks!B2 shows ERROR.</t>
  </si>
  <si>
    <t>Not in scope: accounting treatment, tax, project finance, margining.</t>
  </si>
  <si>
    <t>Inputs and assumptions (provenance per row)</t>
  </si>
  <si>
    <t>Blue cells are inputs. 'illustrative assumption' rows must be replaced with company figures.</t>
  </si>
  <si>
    <t>parameter</t>
  </si>
  <si>
    <t>value</t>
  </si>
  <si>
    <t>unit</t>
  </si>
  <si>
    <t>source</t>
  </si>
  <si>
    <t>note</t>
  </si>
  <si>
    <t>timezone</t>
  </si>
  <si>
    <t>Europe/Berlin</t>
  </si>
  <si>
    <t>tz</t>
  </si>
  <si>
    <t>domain primer</t>
  </si>
  <si>
    <t>all maths in UTC, local time only for reporting</t>
  </si>
  <si>
    <t>interval_hours</t>
  </si>
  <si>
    <t>h</t>
  </si>
  <si>
    <t>15-minute market time unit (MTU)</t>
  </si>
  <si>
    <t>da_15min_start_utc</t>
  </si>
  <si>
    <t>2025-09-30 22:00</t>
  </si>
  <si>
    <t>UTC</t>
  </si>
  <si>
    <t>observed data</t>
  </si>
  <si>
    <t>day-ahead moved from hourly to 15-minute products on 1 Oct 2025 (local)</t>
  </si>
  <si>
    <t>round_trip_efficiency</t>
  </si>
  <si>
    <t>share</t>
  </si>
  <si>
    <t>Li-ion typically 85-90 %</t>
  </si>
  <si>
    <t>cell_replacement_value</t>
  </si>
  <si>
    <t>EUR/MWh capacity</t>
  </si>
  <si>
    <t>illustrative assumption</t>
  </si>
  <si>
    <t>lifetime_full_cycles</t>
  </si>
  <si>
    <t>cycles</t>
  </si>
  <si>
    <t>degradation_cost</t>
  </si>
  <si>
    <t>EUR/MWh discharged</t>
  </si>
  <si>
    <t>max_cycles_per_day</t>
  </si>
  <si>
    <t>cycles/day</t>
  </si>
  <si>
    <t>typical warranty limit, e.g. 1.5</t>
  </si>
  <si>
    <t>soc_start_fraction</t>
  </si>
  <si>
    <t>daily start and minimum end state of charge</t>
  </si>
  <si>
    <t>availability</t>
  </si>
  <si>
    <t>share of time the asset can operate</t>
  </si>
  <si>
    <t>fee_day_ahead</t>
  </si>
  <si>
    <t>EUR/MWh traded</t>
  </si>
  <si>
    <t>trading + clearing fee, day-ahead</t>
  </si>
  <si>
    <t>fee_intraday</t>
  </si>
  <si>
    <t>continuous intraday carries higher fees</t>
  </si>
  <si>
    <t>intraday_gap_recovery</t>
  </si>
  <si>
    <t>share of gap</t>
  </si>
  <si>
    <t>share of (perfect foresight - forecast dispatch) revenue recovered by intraday re-trading</t>
  </si>
  <si>
    <t>intraday_extra_value_share</t>
  </si>
  <si>
    <t>share of DA perfect-foresight value</t>
  </si>
  <si>
    <t>additional value from intraday volatility beyond the day-ahead (no intraday data downloaded)</t>
  </si>
  <si>
    <t>intraday_volume_share</t>
  </si>
  <si>
    <t>share of DA traded MWh</t>
  </si>
  <si>
    <t>intraday re-trading volume relative to the day-ahead volume</t>
  </si>
  <si>
    <t>imbalance_noise_sd</t>
  </si>
  <si>
    <t>share of scheduled MWh</t>
  </si>
  <si>
    <t>random metered deviation around the schedule</t>
  </si>
  <si>
    <t>reserve_price_2022</t>
  </si>
  <si>
    <t>EUR/MW/h</t>
  </si>
  <si>
    <t>modelled path, not market data</t>
  </si>
  <si>
    <t>reserve_price_2026</t>
  </si>
  <si>
    <t>market saturation: capacity prices fall as storage is added</t>
  </si>
  <si>
    <t>reserve_price_monthly_sd</t>
  </si>
  <si>
    <t>log-sd</t>
  </si>
  <si>
    <t>portfolio_size_operational</t>
  </si>
  <si>
    <t>MW</t>
  </si>
  <si>
    <t>three illustrative operating customer assets</t>
  </si>
  <si>
    <t>portfolio_size_pre_cod</t>
  </si>
  <si>
    <t>contracted, COD 2027-03 planned</t>
  </si>
  <si>
    <t>cod_delay_distribution</t>
  </si>
  <si>
    <t>{0: 0.35, 3: 0.35, 6: 0.2, 9: 0.1}</t>
  </si>
  <si>
    <t>months: probability</t>
  </si>
  <si>
    <t>delays are the rule in energy projects -&gt; probability-weight the COD</t>
  </si>
  <si>
    <t>fee_day_ahead_from_2026_04</t>
  </si>
  <si>
    <t>exchange tariff change on 2026-04-01; the rolling forecast still carries the old tariff</t>
  </si>
  <si>
    <t>c1_share_rate</t>
  </si>
  <si>
    <t>share of net revenue</t>
  </si>
  <si>
    <t>net base, fixed rate</t>
  </si>
  <si>
    <t>c2_share_low</t>
  </si>
  <si>
    <t>tiered: up to the threshold</t>
  </si>
  <si>
    <t>c2_share_high</t>
  </si>
  <si>
    <t>tiered: above the threshold</t>
  </si>
  <si>
    <t>c2_tier_threshold</t>
  </si>
  <si>
    <t>EUR/MW/yr</t>
  </si>
  <si>
    <t>c2_customer_floor</t>
  </si>
  <si>
    <t>customer receives at least this per year, optimizer tops up (a put option)</t>
  </si>
  <si>
    <t>c3_share_rate</t>
  </si>
  <si>
    <t>c3_min_monthly_fee</t>
  </si>
  <si>
    <t>EUR/month</t>
  </si>
  <si>
    <t>small, complex customers need a minimum fee (cost to serve)</t>
  </si>
  <si>
    <t>c4_share_rate</t>
  </si>
  <si>
    <t>pre-COD asset, same terms as C1</t>
  </si>
  <si>
    <t>cost_trading_team</t>
  </si>
  <si>
    <t>share of traders + quants</t>
  </si>
  <si>
    <t>cost_data_it</t>
  </si>
  <si>
    <t>cloud, market data, tooling</t>
  </si>
  <si>
    <t>cost_brp</t>
  </si>
  <si>
    <t>direct_da_data</t>
  </si>
  <si>
    <t>product-specific data/licences</t>
  </si>
  <si>
    <t>direct_id_data</t>
  </si>
  <si>
    <t>order-book data, API/message fees</t>
  </si>
  <si>
    <t>direct_res_prequal</t>
  </si>
  <si>
    <t>prequalification, testing</t>
  </si>
  <si>
    <t>cost_to_serve_c1</t>
  </si>
  <si>
    <t>large stand-alone</t>
  </si>
  <si>
    <t>cost_to_serve_c2</t>
  </si>
  <si>
    <t>co-located: constraint management</t>
  </si>
  <si>
    <t>cost_to_serve_c3</t>
  </si>
  <si>
    <t>small asset, same reporting effort</t>
  </si>
  <si>
    <t>cost_to_serve_c4</t>
  </si>
  <si>
    <t>from COD</t>
  </si>
  <si>
    <t>alloc_activity|Trading team|Day-ahead</t>
  </si>
  <si>
    <t>activity key (trader hours / messages / MWh)</t>
  </si>
  <si>
    <t>alloc_activity|Trading team|Intraday</t>
  </si>
  <si>
    <t>alloc_activity|Trading team|Reserve capacity</t>
  </si>
  <si>
    <t>alloc_activity|Data &amp; IT|Day-ahead</t>
  </si>
  <si>
    <t>alloc_activity|Data &amp; IT|Intraday</t>
  </si>
  <si>
    <t>alloc_activity|Data &amp; IT|Reserve capacity</t>
  </si>
  <si>
    <t>alloc_activity|Balance group (BRP)|Day-ahead</t>
  </si>
  <si>
    <t>alloc_activity|Balance group (BRP)|Intraday</t>
  </si>
  <si>
    <t>alloc_activity|Balance group (BRP)|Reserve capacity</t>
  </si>
  <si>
    <t>tolerance_volume_per_interval</t>
  </si>
  <si>
    <t>MWh</t>
  </si>
  <si>
    <t>below this a volume difference self-clears</t>
  </si>
  <si>
    <t>tolerance_amount_per_interval</t>
  </si>
  <si>
    <t>EUR</t>
  </si>
  <si>
    <t>below this an amount difference self-clears</t>
  </si>
  <si>
    <t>tolerance_price</t>
  </si>
  <si>
    <t>EUR/MWh</t>
  </si>
  <si>
    <t>systematic_bias_one_sided_share</t>
  </si>
  <si>
    <t>small differences that always point the same way are investigated</t>
  </si>
  <si>
    <t>variance_materiality_pct</t>
  </si>
  <si>
    <t>written explanation above +-5 %</t>
  </si>
  <si>
    <t>variance_materiality_eur</t>
  </si>
  <si>
    <t>and above +-25 k EUR</t>
  </si>
  <si>
    <t>monte_carlo_draws</t>
  </si>
  <si>
    <t>draws</t>
  </si>
  <si>
    <t>random_seed</t>
  </si>
  <si>
    <t>seed</t>
  </si>
  <si>
    <t>history_start</t>
  </si>
  <si>
    <t>2019-01-01</t>
  </si>
  <si>
    <t>date</t>
  </si>
  <si>
    <t>market history used for statistics</t>
  </si>
  <si>
    <t>backtest_start</t>
  </si>
  <si>
    <t>2024-01-01</t>
  </si>
  <si>
    <t>forecast / dispatch evaluation window</t>
  </si>
  <si>
    <t>recon_start</t>
  </si>
  <si>
    <t>2025-10-01</t>
  </si>
  <si>
    <t>reconciliation window = 12 months of native 15-min DA</t>
  </si>
  <si>
    <t>recon_end</t>
  </si>
  <si>
    <t>2026-09-30</t>
  </si>
  <si>
    <t>Monthly actuals per asset (Layer 1: asset net trading revenue, EUR)</t>
  </si>
  <si>
    <t>month</t>
  </si>
  <si>
    <t>asset_id</t>
  </si>
  <si>
    <t>mw</t>
  </si>
  <si>
    <t>dis_mwh</t>
  </si>
  <si>
    <t>traded_mwh</t>
  </si>
  <si>
    <t>arb_rev</t>
  </si>
  <si>
    <t>res_rev</t>
  </si>
  <si>
    <t>fees</t>
  </si>
  <si>
    <t>deg</t>
  </si>
  <si>
    <t>imb_cost</t>
  </si>
  <si>
    <t>BESS-A</t>
  </si>
  <si>
    <t>BESS-B</t>
  </si>
  <si>
    <t>BESS-C</t>
  </si>
  <si>
    <t>net_rev (formula)</t>
  </si>
  <si>
    <t>net_rev (python)</t>
  </si>
  <si>
    <t>match</t>
  </si>
  <si>
    <t>Total</t>
  </si>
  <si>
    <t>Variance bridge June 2026, budget = Dec-2025 rolling forecast - live formulas</t>
  </si>
  <si>
    <t>Order of effects: volume (MW online) -&gt; mix (arbitrage vs reserve) -&gt; price; arbitrage price effect is split into cycles -&gt; market spread -&gt; capture rate; costs: volume then rate. Same order every month.</t>
  </si>
  <si>
    <t>Budget drivers</t>
  </si>
  <si>
    <t>res_share</t>
  </si>
  <si>
    <t>q</t>
  </si>
  <si>
    <t>theo</t>
  </si>
  <si>
    <t>cap</t>
  </si>
  <si>
    <t>res_price</t>
  </si>
  <si>
    <t>traded_per_dis</t>
  </si>
  <si>
    <t>fee_rate</t>
  </si>
  <si>
    <t>deg_rate</t>
  </si>
  <si>
    <t>imb_vol_per_dis</t>
  </si>
  <si>
    <t>imb_rate</t>
  </si>
  <si>
    <t>net revenue</t>
  </si>
  <si>
    <t>Actual drivers</t>
  </si>
  <si>
    <t>Effect (EUR)</t>
  </si>
  <si>
    <t>Portfolio</t>
  </si>
  <si>
    <t>explain?</t>
  </si>
  <si>
    <t>Volume: MW online (COD timing)</t>
  </si>
  <si>
    <t>Mix: arbitrage vs reserve</t>
  </si>
  <si>
    <t>Cycles: MWh per MW</t>
  </si>
  <si>
    <t>Market spread (theoretical)</t>
  </si>
  <si>
    <t>Capture rate (algorithm)</t>
  </si>
  <si>
    <t>Reserve capacity price</t>
  </si>
  <si>
    <t>Fees: activity</t>
  </si>
  <si>
    <t>Fees: tariff</t>
  </si>
  <si>
    <t>Degradation: volume</t>
  </si>
  <si>
    <t>Degradation: cost rate</t>
  </si>
  <si>
    <t>Imbalance: volume</t>
  </si>
  <si>
    <t>Imbalance: price</t>
  </si>
  <si>
    <t>Budget net (portfolio)</t>
  </si>
  <si>
    <t>+ sum of effects</t>
  </si>
  <si>
    <t>Actual net (portfolio)</t>
  </si>
  <si>
    <t>Check: budget + effects - actual</t>
  </si>
  <si>
    <t>Intervals per local delivery day: only DST days may differ from 96 (92 in March, 100 in October)</t>
  </si>
  <si>
    <t>local_date</t>
  </si>
  <si>
    <t>n_expected</t>
  </si>
  <si>
    <t>n_found</t>
  </si>
  <si>
    <t>gap</t>
  </si>
  <si>
    <t>Ledger vs exchange statement per asset and local day (EUR)</t>
  </si>
  <si>
    <t>ledger_rows</t>
  </si>
  <si>
    <t>ecc_rows</t>
  </si>
  <si>
    <t>ledger_mwh</t>
  </si>
  <si>
    <t>ecc_mwh</t>
  </si>
  <si>
    <t>ledger_eur</t>
  </si>
  <si>
    <t>ecc_eur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</si>
  <si>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</si>
  <si>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</si>
  <si>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</si>
  <si>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</si>
  <si>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</si>
  <si>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</si>
  <si>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</si>
  <si>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</si>
  <si>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</si>
  <si>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</si>
  <si>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</si>
  <si>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</si>
  <si>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</si>
  <si>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</si>
  <si>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</si>
  <si>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</si>
  <si>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</si>
  <si>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</si>
  <si>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</si>
  <si>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</si>
  <si>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</si>
  <si>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</si>
  <si>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</si>
  <si>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</si>
  <si>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</si>
  <si>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</si>
  <si>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</si>
  <si>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</si>
  <si>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</si>
  <si>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</si>
  <si>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</si>
  <si>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</si>
  <si>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</si>
  <si>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</si>
  <si>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</si>
  <si>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</si>
  <si>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</si>
  <si>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</si>
  <si>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</si>
  <si>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</si>
  <si>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</si>
  <si>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</si>
  <si>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</si>
  <si>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</si>
  <si>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</si>
  <si>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</si>
  <si>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</si>
  <si>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</si>
  <si>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</si>
  <si>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</si>
  <si>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</si>
  <si>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</si>
  <si>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</si>
  <si>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</si>
  <si>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</si>
  <si>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</si>
  <si>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</si>
  <si>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</si>
  <si>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</si>
  <si>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</si>
  <si>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</si>
  <si>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</si>
  <si>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</si>
  <si>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</si>
  <si>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</si>
  <si>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</si>
  <si>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</si>
  <si>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</si>
  <si>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</si>
  <si>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</si>
  <si>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</si>
  <si>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</si>
  <si>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</si>
  <si>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</si>
  <si>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</si>
  <si>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</si>
  <si>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</si>
  <si>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</si>
  <si>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</si>
  <si>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</si>
  <si>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</si>
  <si>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</si>
  <si>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</si>
  <si>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</si>
  <si>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</si>
  <si>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</si>
  <si>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</si>
  <si>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</si>
  <si>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</si>
  <si>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</si>
  <si>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</si>
  <si>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</si>
  <si>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</si>
  <si>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</si>
  <si>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</si>
  <si>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</si>
  <si>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</si>
  <si>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</si>
  <si>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</si>
  <si>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</si>
  <si>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</si>
  <si>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</si>
  <si>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</si>
  <si>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</si>
  <si>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</si>
  <si>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</si>
  <si>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</si>
  <si>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</si>
  <si>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</si>
  <si>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</si>
  <si>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</si>
  <si>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</si>
  <si>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</si>
  <si>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</si>
  <si>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</si>
  <si>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</si>
  <si>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</si>
  <si>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</si>
  <si>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</si>
  <si>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</si>
  <si>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</si>
  <si>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</si>
  <si>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</si>
  <si>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</si>
  <si>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</si>
  <si>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</si>
  <si>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</si>
  <si>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</si>
  <si>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</si>
  <si>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</si>
  <si>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</si>
  <si>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</si>
  <si>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</si>
  <si>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</si>
  <si>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</si>
  <si>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</si>
  <si>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</si>
  <si>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</si>
  <si>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</si>
  <si>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</si>
  <si>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</si>
  <si>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</si>
  <si>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</si>
  <si>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</si>
  <si>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</si>
  <si>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</si>
  <si>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</si>
  <si>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</si>
  <si>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</si>
  <si>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</si>
  <si>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</si>
  <si>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</si>
  <si>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</si>
  <si>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</si>
  <si>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</si>
  <si>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</si>
  <si>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</si>
  <si>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</si>
  <si>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</si>
  <si>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</si>
  <si>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</si>
  <si>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</si>
  <si>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</si>
  <si>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</si>
  <si>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</si>
  <si>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</si>
  <si>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</si>
  <si>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</si>
  <si>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</si>
  <si>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</si>
  <si>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</si>
  <si>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</si>
  <si>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</si>
  <si>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</si>
  <si>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</si>
  <si>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</si>
  <si>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</si>
  <si>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</si>
  <si>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</si>
  <si>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</si>
  <si>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</si>
  <si>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</si>
  <si>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</si>
  <si>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</si>
  <si>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</si>
  <si>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</si>
  <si>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</si>
  <si>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</si>
  <si>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</si>
  <si>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</si>
  <si>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</si>
  <si>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</si>
  <si>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</si>
  <si>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</si>
  <si>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</si>
  <si>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</si>
  <si>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</si>
  <si>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</si>
  <si>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</si>
  <si>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</si>
  <si>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</si>
  <si>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</si>
  <si>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</si>
  <si>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</si>
  <si>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</si>
  <si>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</si>
  <si>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</si>
  <si>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</si>
  <si>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</si>
  <si>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</si>
  <si>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</si>
  <si>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</si>
  <si>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</si>
  <si>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</si>
  <si>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</si>
  <si>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</si>
  <si>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</si>
  <si>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</si>
  <si>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</si>
  <si>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</si>
  <si>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</si>
  <si>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</si>
  <si>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</si>
  <si>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</si>
  <si>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</si>
  <si>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</si>
  <si>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</si>
  <si>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</si>
  <si>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</si>
  <si>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</si>
  <si>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</si>
  <si>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</si>
  <si>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</si>
  <si>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</si>
  <si>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</si>
  <si>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</si>
  <si>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</si>
  <si>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</si>
  <si>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</si>
  <si>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</si>
  <si>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</si>
  <si>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</si>
  <si>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</si>
  <si>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</si>
  <si>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</si>
  <si>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</si>
  <si>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</si>
  <si>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</si>
  <si>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</si>
  <si>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</si>
  <si>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</si>
  <si>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</si>
  <si>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</si>
  <si>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</si>
  <si>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</si>
  <si>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</si>
  <si>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</si>
  <si>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</si>
  <si>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</si>
  <si>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</si>
  <si>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</si>
  <si>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</si>
  <si>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</si>
  <si>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</si>
  <si>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</si>
  <si>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</si>
  <si>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</si>
  <si>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</si>
  <si>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</si>
  <si>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</si>
  <si>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</si>
  <si>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</si>
  <si>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</si>
  <si>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</si>
  <si>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</si>
  <si>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</si>
  <si>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</si>
  <si>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</si>
  <si>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</si>
  <si>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</si>
  <si>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</si>
  <si>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</si>
  <si>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</si>
  <si>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</si>
  <si>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</si>
  <si>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</si>
  <si>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</si>
  <si>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</si>
  <si>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</si>
  <si>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</si>
  <si>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</si>
  <si>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</si>
  <si>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</si>
  <si>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</si>
  <si>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</si>
  <si>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</si>
  <si>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</si>
  <si>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</si>
  <si>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</si>
  <si>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</si>
  <si>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</si>
  <si>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</si>
  <si>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</si>
  <si>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</si>
  <si>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</si>
  <si>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</si>
  <si>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</si>
  <si>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</si>
  <si>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</si>
  <si>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</si>
  <si>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</si>
  <si>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</si>
  <si>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</si>
  <si>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</si>
  <si>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</si>
  <si>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</si>
  <si>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</si>
  <si>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</si>
  <si>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</si>
  <si>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</si>
  <si>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</si>
  <si>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</si>
  <si>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</si>
  <si>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</si>
  <si>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</si>
  <si>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</si>
  <si>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</si>
  <si>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</si>
  <si>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</si>
  <si>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</si>
  <si>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</si>
  <si>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</si>
  <si>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</si>
  <si>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</si>
  <si>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</si>
  <si>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</si>
  <si>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</si>
  <si>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</si>
  <si>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</si>
  <si>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</si>
  <si>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</si>
  <si>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</si>
  <si>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</si>
  <si>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</si>
  <si>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</si>
  <si>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</si>
  <si>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</si>
  <si>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</si>
  <si>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</si>
  <si>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</si>
  <si>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</si>
  <si>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</si>
  <si>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</si>
  <si>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</si>
  <si>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</si>
  <si>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</si>
  <si>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</si>
  <si>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</si>
  <si>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</si>
  <si>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</si>
  <si>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</si>
  <si>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</si>
  <si>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</si>
  <si>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diff_eur</t>
  </si>
  <si>
    <t>Break register (two-way core + four-way extension) - status column is an input</t>
  </si>
  <si>
    <t>break_id</t>
  </si>
  <si>
    <t>scope</t>
  </si>
  <si>
    <t>type</t>
  </si>
  <si>
    <t>n_intervals</t>
  </si>
  <si>
    <t>mwh_diff</t>
  </si>
  <si>
    <t>eur_impact</t>
  </si>
  <si>
    <t>severity</t>
  </si>
  <si>
    <t>owner</t>
  </si>
  <si>
    <t>root_cause</t>
  </si>
  <si>
    <t>next_step</t>
  </si>
  <si>
    <t>age_days</t>
  </si>
  <si>
    <t>status</t>
  </si>
  <si>
    <t>R2-BRK-0001</t>
  </si>
  <si>
    <t>2-way</t>
  </si>
  <si>
    <t>MISSING_IN_ECC</t>
  </si>
  <si>
    <t>high</t>
  </si>
  <si>
    <t>exchange ops / data feed</t>
  </si>
  <si>
    <t>ECC statement incomplete or late</t>
  </si>
  <si>
    <t>re-request statement</t>
  </si>
  <si>
    <t>open</t>
  </si>
  <si>
    <t>R2-BRK-0002</t>
  </si>
  <si>
    <t>R2-BRK-0003</t>
  </si>
  <si>
    <t>UNIT_X4</t>
  </si>
  <si>
    <t>data science export</t>
  </si>
  <si>
    <t>MW vs MWh confusion (15 min = factor 4)</t>
  </si>
  <si>
    <t>fix export unit, re-load day</t>
  </si>
  <si>
    <t>R2-BRK-0004</t>
  </si>
  <si>
    <t>SIGN_FLIP</t>
  </si>
  <si>
    <t>buy / sell convention reversed</t>
  </si>
  <si>
    <t>map buy/sell columns, re-load day</t>
  </si>
  <si>
    <t>R2-BRK-0005</t>
  </si>
  <si>
    <t>R2-BRK-0006</t>
  </si>
  <si>
    <t>MISSING_IN_LEDGER</t>
  </si>
  <si>
    <t>medium</t>
  </si>
  <si>
    <t>trades absent from ledger export</t>
  </si>
  <si>
    <t>re-run export, check booking cut-off</t>
  </si>
  <si>
    <t>R2-BRK-0007</t>
  </si>
  <si>
    <t>DUPLICATE_ECC</t>
  </si>
  <si>
    <t>statement rows delivered twice</t>
  </si>
  <si>
    <t>de-duplicate on (account, interval)</t>
  </si>
  <si>
    <t>R2-BRK-0008</t>
  </si>
  <si>
    <t>R2-BRK-0009</t>
  </si>
  <si>
    <t>VOLUME_DIFF</t>
  </si>
  <si>
    <t>trading desk</t>
  </si>
  <si>
    <t>partial fill / cancellation not reflected in ledger</t>
  </si>
  <si>
    <t>book executed volume</t>
  </si>
  <si>
    <t>R2-BRK-0010</t>
  </si>
  <si>
    <t>R2-BRK-0011</t>
  </si>
  <si>
    <t>PRICE_DIFF</t>
  </si>
  <si>
    <t>exchange / pricing</t>
  </si>
  <si>
    <t>clearing price corrected after first publication</t>
  </si>
  <si>
    <t>take final price, true-up</t>
  </si>
  <si>
    <t>R2-BRK-0012</t>
  </si>
  <si>
    <t>R2-BRK-0013</t>
  </si>
  <si>
    <t>2026-06</t>
  </si>
  <si>
    <t>ROUNDING_BIAS</t>
  </si>
  <si>
    <t>low</t>
  </si>
  <si>
    <t>systematic truncation instead of rounding</t>
  </si>
  <si>
    <t>agree rounding rule, adjust</t>
  </si>
  <si>
    <t>R2-BRK-0014</t>
  </si>
  <si>
    <t>2026-09</t>
  </si>
  <si>
    <t>R2-BRK-0015</t>
  </si>
  <si>
    <t>2026-07</t>
  </si>
  <si>
    <t>R2-BRK-0016</t>
  </si>
  <si>
    <t>2026-03</t>
  </si>
  <si>
    <t>R2-BRK-0017</t>
  </si>
  <si>
    <t>2026-01</t>
  </si>
  <si>
    <t>R2-BRK-0018</t>
  </si>
  <si>
    <t>2025-12</t>
  </si>
  <si>
    <t>R2-BRK-0019</t>
  </si>
  <si>
    <t>2026-08</t>
  </si>
  <si>
    <t>R2-BRK-0020</t>
  </si>
  <si>
    <t>2026-04</t>
  </si>
  <si>
    <t>R2-BRK-0021</t>
  </si>
  <si>
    <t>2025-11</t>
  </si>
  <si>
    <t>R2-BRK-0022</t>
  </si>
  <si>
    <t>2026-02</t>
  </si>
  <si>
    <t>R2-BRK-0023</t>
  </si>
  <si>
    <t>2026-05</t>
  </si>
  <si>
    <t>R2-BRK-0024</t>
  </si>
  <si>
    <t>2025-10</t>
  </si>
  <si>
    <t>R4-BRK-0001</t>
  </si>
  <si>
    <t>4-way</t>
  </si>
  <si>
    <t>ASSET_OUTAGE</t>
  </si>
  <si>
    <t>asset / customer</t>
  </si>
  <si>
    <t>unplanned outage: meter below schedule</t>
  </si>
  <si>
    <t>availability KPI; imbalance to asset side</t>
  </si>
  <si>
    <t>R4-BRK-0002</t>
  </si>
  <si>
    <t>R4-BRK-0003</t>
  </si>
  <si>
    <t>R4-BRK-0004</t>
  </si>
  <si>
    <t>R4-BRK-0005</t>
  </si>
  <si>
    <t>R4-BRK-0006</t>
  </si>
  <si>
    <t>R4-BRK-0007</t>
  </si>
  <si>
    <t>R4-BRK-0008</t>
  </si>
  <si>
    <t>R4-BRK-0009</t>
  </si>
  <si>
    <t>R4-BRK-0010</t>
  </si>
  <si>
    <t>R4-BRK-0011</t>
  </si>
  <si>
    <t>R4-BRK-0012</t>
  </si>
  <si>
    <t>R4-BRK-0013</t>
  </si>
  <si>
    <t>R4-BRK-0014</t>
  </si>
  <si>
    <t>R4-BRK-0015</t>
  </si>
  <si>
    <t>R4-BRK-0016</t>
  </si>
  <si>
    <t>R4-BRK-0017</t>
  </si>
  <si>
    <t>R4-BRK-0018</t>
  </si>
  <si>
    <t>R4-BRK-0019</t>
  </si>
  <si>
    <t>R4-BRK-0020</t>
  </si>
  <si>
    <t>R4-BRK-0021</t>
  </si>
  <si>
    <t>R4-BRK-0022</t>
  </si>
  <si>
    <t>R4-BRK-0023</t>
  </si>
  <si>
    <t>R4-BRK-0024</t>
  </si>
  <si>
    <t>R4-BRK-0025</t>
  </si>
  <si>
    <t>R4-BRK-0026</t>
  </si>
  <si>
    <t>R4-BRK-0027</t>
  </si>
  <si>
    <t>NOTIFICATION_ERROR</t>
  </si>
  <si>
    <t>optimizer (process error)</t>
  </si>
  <si>
    <t>schedule differs from trade (e.g. sign)</t>
  </si>
  <si>
    <t>correct schedule, avoidable imbalance</t>
  </si>
  <si>
    <t>R4-BRK-0028</t>
  </si>
  <si>
    <t>R4-BRK-0029</t>
  </si>
  <si>
    <t>R4-BRK-0030</t>
  </si>
  <si>
    <t>R4-BRK-0031</t>
  </si>
  <si>
    <t>R4-BRK-0032</t>
  </si>
  <si>
    <t>R4-BRK-0033</t>
  </si>
  <si>
    <t>R4-BRK-0034</t>
  </si>
  <si>
    <t>R4-BRK-0035</t>
  </si>
  <si>
    <t>R4-BRK-0036</t>
  </si>
  <si>
    <t>R4-BRK-0037</t>
  </si>
  <si>
    <t>R4-BRK-0038</t>
  </si>
  <si>
    <t>R4-BRK-0039</t>
  </si>
  <si>
    <t>R4-BRK-0040</t>
  </si>
  <si>
    <t>R4-BRK-0041</t>
  </si>
  <si>
    <t>R4-BRK-0042</t>
  </si>
  <si>
    <t>R4-BRK-0043</t>
  </si>
  <si>
    <t>R4-BRK-0044</t>
  </si>
  <si>
    <t>R4-BRK-0045</t>
  </si>
  <si>
    <t>R4-BRK-0046</t>
  </si>
  <si>
    <t>R4-BRK-0047</t>
  </si>
  <si>
    <t>R4-BRK-0048</t>
  </si>
  <si>
    <t>R4-BRK-0049</t>
  </si>
  <si>
    <t>R4-BRK-0050</t>
  </si>
  <si>
    <t>R4-BRK-0051</t>
  </si>
  <si>
    <t>R4-BRK-0052</t>
  </si>
  <si>
    <t>R4-BRK-0053</t>
  </si>
  <si>
    <t>R4-BRK-0054</t>
  </si>
  <si>
    <t>R4-BRK-0055</t>
  </si>
  <si>
    <t>R4-BRK-0056</t>
  </si>
  <si>
    <t>R4-BRK-0057</t>
  </si>
  <si>
    <t>R4-BRK-0058</t>
  </si>
  <si>
    <t>R4-BRK-0059</t>
  </si>
  <si>
    <t>R4-BRK-0060</t>
  </si>
  <si>
    <t>R4-BRK-0061</t>
  </si>
  <si>
    <t>R4-BRK-0062</t>
  </si>
  <si>
    <t>R4-BRK-0063</t>
  </si>
  <si>
    <t>R4-BRK-0064</t>
  </si>
  <si>
    <t>R4-BRK-0065</t>
  </si>
  <si>
    <t>R4-BRK-0066</t>
  </si>
  <si>
    <t>R4-BRK-0067</t>
  </si>
  <si>
    <t>R4-BRK-0068</t>
  </si>
  <si>
    <t>R4-BRK-0069</t>
  </si>
  <si>
    <t>R4-BRK-0070</t>
  </si>
  <si>
    <t>R4-BRK-0071</t>
  </si>
  <si>
    <t>METER_BIAS</t>
  </si>
  <si>
    <t>asset / metering</t>
  </si>
  <si>
    <t>systematic meter deviation vs schedule</t>
  </si>
  <si>
    <t>meter calibration check</t>
  </si>
  <si>
    <t>R4-BRK-0072</t>
  </si>
  <si>
    <t>NOT_NOTIFIED</t>
  </si>
  <si>
    <t>trade missing from the schedule notified to the TSO</t>
  </si>
  <si>
    <t>notify schedule, avoidable imbalance</t>
  </si>
  <si>
    <t>R4-BRK-0073</t>
  </si>
  <si>
    <t>R4-BRK-0074</t>
  </si>
  <si>
    <t>R4-BRK-0075</t>
  </si>
  <si>
    <t>R4-BRK-0076</t>
  </si>
  <si>
    <t>R4-BRK-0077</t>
  </si>
  <si>
    <t>R4-BRK-0078</t>
  </si>
  <si>
    <t>R4-BRK-0079</t>
  </si>
  <si>
    <t>R4-BRK-0080</t>
  </si>
  <si>
    <t>R4-BRK-0081</t>
  </si>
  <si>
    <t>R4-BRK-0082</t>
  </si>
  <si>
    <t>R4-BRK-0083</t>
  </si>
  <si>
    <t>R4-BRK-0084</t>
  </si>
  <si>
    <t>R4-BRK-0085</t>
  </si>
  <si>
    <t>R4-BRK-0086</t>
  </si>
  <si>
    <t>R4-BRK-0087</t>
  </si>
  <si>
    <t>R4-BRK-0088</t>
  </si>
  <si>
    <t>R4-BRK-0089</t>
  </si>
  <si>
    <t>R4-BRK-0090</t>
  </si>
  <si>
    <t>R4-BRK-0091</t>
  </si>
  <si>
    <t>R4-BRK-0092</t>
  </si>
  <si>
    <t>R4-BRK-0093</t>
  </si>
  <si>
    <t>R4-BRK-0094</t>
  </si>
  <si>
    <t>R4-BRK-0095</t>
  </si>
  <si>
    <t>R4-BRK-0096</t>
  </si>
  <si>
    <t>R4-BRK-0097</t>
  </si>
  <si>
    <t>R4-BRK-0098</t>
  </si>
  <si>
    <t>R4-BRK-0099</t>
  </si>
  <si>
    <t>R4-BRK-0100</t>
  </si>
  <si>
    <t>R4-BRK-0101</t>
  </si>
  <si>
    <t>R4-BRK-0102</t>
  </si>
  <si>
    <t>R4-BRK-0103</t>
  </si>
  <si>
    <t>R4-BRK-0104</t>
  </si>
  <si>
    <t>R4-BRK-0105</t>
  </si>
  <si>
    <t>R4-BRK-0106</t>
  </si>
  <si>
    <t>R4-BRK-0107</t>
  </si>
  <si>
    <t>Rolling forecast accuracy, scenarios, tornado and Monte Carlo (12 months forward)</t>
  </si>
  <si>
    <t>Backtest: accuracy by horizon (portfolio, monthly)</t>
  </si>
  <si>
    <t>n</t>
  </si>
  <si>
    <t>MAPE %</t>
  </si>
  <si>
    <t>bias % (forecast-actual)</t>
  </si>
  <si>
    <t>Scenario sets (EUR, 12 months)</t>
  </si>
  <si>
    <t>scenario</t>
  </si>
  <si>
    <t>layer1_net</t>
  </si>
  <si>
    <t>company_revenue</t>
  </si>
  <si>
    <t>floor_topup</t>
  </si>
  <si>
    <t>cost_to_serve</t>
  </si>
  <si>
    <t>direct_costs</t>
  </si>
  <si>
    <t>joint_costs</t>
  </si>
  <si>
    <t>company_ebitda</t>
  </si>
  <si>
    <t>Stress</t>
  </si>
  <si>
    <t>Downside</t>
  </si>
  <si>
    <t>Base</t>
  </si>
  <si>
    <t>Upside</t>
  </si>
  <si>
    <t>Tornado - Layer 1 net trading revenue (change vs base, EUR)</t>
  </si>
  <si>
    <t>driver</t>
  </si>
  <si>
    <t>range</t>
  </si>
  <si>
    <t>Market spread level (P10 / P90)</t>
  </si>
  <si>
    <t>Cycles per MW (-10 / +10 %)</t>
  </si>
  <si>
    <t>COD of pre-COD asset (+9 m / on plan)</t>
  </si>
  <si>
    <t>Capture rate (-5 / +5 pp)</t>
  </si>
  <si>
    <t>Reserve capacity price (-35 / +15 %)</t>
  </si>
  <si>
    <t>Imbalance price (+30 / -30 %)</t>
  </si>
  <si>
    <t>Exchange fees (+25 / -25 %)</t>
  </si>
  <si>
    <t>Revenue share rate (-3 / +3 pp)</t>
  </si>
  <si>
    <t>Tornado - company EBITDA (change vs base, EUR)</t>
  </si>
  <si>
    <t>Monte Carlo percentiles (EUR)</t>
  </si>
  <si>
    <t>metric</t>
  </si>
  <si>
    <t>mean</t>
  </si>
  <si>
    <t>P50</t>
  </si>
  <si>
    <t>P90 (empirical)</t>
  </si>
  <si>
    <t>P90 (normal approx)</t>
  </si>
  <si>
    <t>P99 (empirical)</t>
  </si>
  <si>
    <t>P99 (normal approx)</t>
  </si>
  <si>
    <t>skewness</t>
  </si>
  <si>
    <t>Product profitability, Oct-2025 to Sep-2026 (company view, EUR) - change the key in B3</t>
  </si>
  <si>
    <t>Allocation key</t>
  </si>
  <si>
    <t>Activity</t>
  </si>
  <si>
    <t>Months in window</t>
  </si>
  <si>
    <t>Joint cost pool (EUR / month)</t>
  </si>
  <si>
    <t>monthly cost</t>
  </si>
  <si>
    <t>key: Day-ahead</t>
  </si>
  <si>
    <t>key: Intraday</t>
  </si>
  <si>
    <t>key: Reserve capacity</t>
  </si>
  <si>
    <t>key sum</t>
  </si>
  <si>
    <t>Trading team</t>
  </si>
  <si>
    <t>Data &amp; IT</t>
  </si>
  <si>
    <t>Balance group (BRP)</t>
  </si>
  <si>
    <t>Joint costs in window</t>
  </si>
  <si>
    <t>product</t>
  </si>
  <si>
    <t>L1 contribution</t>
  </si>
  <si>
    <t>company revenue</t>
  </si>
  <si>
    <t>direct costs / month</t>
  </si>
  <si>
    <t>direct costs</t>
  </si>
  <si>
    <t>CM1</t>
  </si>
  <si>
    <t>joint (revenue key)</t>
  </si>
  <si>
    <t>joint (activity key)</t>
  </si>
  <si>
    <t>joint (selected)</t>
  </si>
  <si>
    <t>net contribution</t>
  </si>
  <si>
    <t>Day-ahead</t>
  </si>
  <si>
    <t>Intraday</t>
  </si>
  <si>
    <t>Reserve capacity</t>
  </si>
  <si>
    <t>customer</t>
  </si>
  <si>
    <t>contract</t>
  </si>
  <si>
    <t>of_which_floor_topup</t>
  </si>
  <si>
    <t>C1</t>
  </si>
  <si>
    <t>stand-alone</t>
  </si>
  <si>
    <t>net_fixed</t>
  </si>
  <si>
    <t>C2</t>
  </si>
  <si>
    <t>co-located</t>
  </si>
  <si>
    <t>tiered_floor</t>
  </si>
  <si>
    <t>C3</t>
  </si>
  <si>
    <t>fixed_min_fee</t>
  </si>
  <si>
    <t>after cost to serve</t>
  </si>
  <si>
    <t>cost to serve / MW</t>
  </si>
  <si>
    <t>Change log</t>
  </si>
  <si>
    <t>version</t>
  </si>
  <si>
    <t>change</t>
  </si>
  <si>
    <t>1.0</t>
  </si>
  <si>
    <t>First version: data audit, reconciliation, bridge, scenarios, product P&amp;L.</t>
  </si>
  <si>
    <t>Check sheet</t>
  </si>
  <si>
    <t>MASTER FLAG (publish only if OK)</t>
  </si>
  <si>
    <t>check</t>
  </si>
  <si>
    <t>result</t>
  </si>
  <si>
    <t>sheet</t>
  </si>
  <si>
    <t>1. Round-trip efficiency is plausible (0.80-0.95)</t>
  </si>
  <si>
    <t>Inputs</t>
  </si>
  <si>
    <t>2. Monthly net revenue = sum of its lines (every row)</t>
  </si>
  <si>
    <t>Monthly_Actuals</t>
  </si>
  <si>
    <t>3. Cost lines are entered as positive amounts (sign convention)</t>
  </si>
  <si>
    <t>4. Bridge: budget + effects = actual (no unexplained residual)</t>
  </si>
  <si>
    <t>Bridge</t>
  </si>
  <si>
    <t>5. Bridge: asset columns cross-foot to the portfolio column</t>
  </si>
  <si>
    <t>6. Price series complete on every local day incl. DST days</t>
  </si>
  <si>
    <t>Interval_Count</t>
  </si>
  <si>
    <t>7. Intervals in the price file = intervals implied by the calendar (cross-foot)</t>
  </si>
  <si>
    <t>8. Recon: daily differences cross-foot to total statement - total ledger</t>
  </si>
  <si>
    <t>Recon_Daily</t>
  </si>
  <si>
    <t>9. Activity keys sum to 100 % for every cost pool</t>
  </si>
  <si>
    <t>Product_PnL</t>
  </si>
  <si>
    <t>10. Joint costs fully allocated - revenue key</t>
  </si>
  <si>
    <t>11. Joint costs fully allocated - activity key</t>
  </si>
  <si>
    <t>12. Product L1 contributions = portfolio net revenue in the window (Monthly_Actuals)</t>
  </si>
</sst>
</file>

<file path=xl/styles.xml><?xml version="1.0" encoding="utf-8"?>
<styleSheet xmlns="http://schemas.openxmlformats.org/spreadsheetml/2006/main">
  <numFmts count="7">
    <numFmt numFmtId="164" formatCode="#,##0.00##"/>
    <numFmt numFmtId="165" formatCode="yyyy-mm"/>
    <numFmt numFmtId="166" formatCode="#,##0.000"/>
    <numFmt numFmtId="167" formatCode="#,##0;[Red]-#,##0"/>
    <numFmt numFmtId="168" formatCode="#,##0.00;[Red]-#,##0.00"/>
    <numFmt numFmtId="169" formatCode="yyyy-mm-dd"/>
    <numFmt numFmtId="170" formatCode="0.0%"/>
  </numFmts>
  <fonts count="6">
    <font>
      <sz val="11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i/>
      <sz val="10"/>
      <color rgb="FF52514E"/>
      <name val="Segoe UI"/>
      <family val="2"/>
    </font>
    <font>
      <sz val="10"/>
      <color rgb="FF1C5CA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0EFEC"/>
        <bgColor indexed="64"/>
      </patternFill>
    </fill>
    <fill>
      <patternFill patternType="solid">
        <fgColor rgb="FFFFF6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164" fontId="5" fillId="3" borderId="0" xfId="0" applyNumberFormat="1" applyFont="1" applyFill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7" fontId="2" fillId="0" borderId="2" xfId="0" applyNumberFormat="1" applyFont="1" applyBorder="1"/>
    <xf numFmtId="168" fontId="3" fillId="0" borderId="0" xfId="0" applyNumberFormat="1" applyFont="1"/>
    <xf numFmtId="169" fontId="3" fillId="0" borderId="0" xfId="0" applyNumberFormat="1" applyFont="1"/>
    <xf numFmtId="0" fontId="5" fillId="3" borderId="0" xfId="0" applyFont="1" applyFill="1"/>
    <xf numFmtId="170" fontId="5" fillId="3" borderId="0" xfId="0" applyNumberFormat="1" applyFont="1" applyFill="1"/>
    <xf numFmtId="170" fontId="3" fillId="0" borderId="0" xfId="0" applyNumberFormat="1" applyFont="1"/>
  </cellXfs>
  <cellStyles count="1">
    <cellStyle name="Normal" xfId="0" builtinId="0"/>
  </cellStyles>
  <dxfs count="3">
    <dxf>
      <fill>
        <patternFill>
          <bgColor rgb="FFFBE3E3"/>
        </patternFill>
      </fill>
    </dxf>
    <dxf>
      <font>
        <b/>
        <color rgb="FF006300"/>
      </font>
    </dxf>
    <dxf>
      <font>
        <b/>
        <color rgb="FFD03B3B"/>
      </font>
      <fill>
        <patternFill>
          <bgColor rgb="FFFBE3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80.7109375" customWidth="1"/>
    <col min="2" max="3" width="16.7109375" customWidth="1"/>
  </cols>
  <sheetData>
    <row r="1" spans="1:3">
      <c r="A1" s="1" t="s">
        <v>874</v>
      </c>
    </row>
    <row r="2" spans="1:3">
      <c r="A2" s="2" t="s">
        <v>875</v>
      </c>
      <c r="B2" s="3" t="str">
        <f>IF(COUNTIF(B5:B16,"ERROR")=0,"OK","ERROR")</f>
        <v>OK</v>
      </c>
    </row>
    <row r="4" spans="1:3">
      <c r="A4" s="2" t="s">
        <v>876</v>
      </c>
      <c r="B4" s="2" t="s">
        <v>877</v>
      </c>
      <c r="C4" s="2" t="s">
        <v>878</v>
      </c>
    </row>
    <row r="5" spans="1:3">
      <c r="A5" s="4" t="s">
        <v>879</v>
      </c>
      <c r="B5" s="3" t="str">
        <f>IF(AND(rte&gt;0.8,rte&lt;0.95),"OK","ERROR")</f>
        <v>OK</v>
      </c>
      <c r="C5" s="3" t="s">
        <v>880</v>
      </c>
    </row>
    <row r="6" spans="1:3">
      <c r="A6" s="4" t="s">
        <v>881</v>
      </c>
      <c r="B6" s="3" t="str">
        <f>IF(COUNTIF(Monthly_Actuals!$M$4:$M$79,FALSE)=0,"OK","ERROR")</f>
        <v>OK</v>
      </c>
      <c r="C6" s="3" t="s">
        <v>882</v>
      </c>
    </row>
    <row r="7" spans="1:3">
      <c r="A7" s="4" t="s">
        <v>883</v>
      </c>
      <c r="B7" s="3" t="str">
        <f>IF(COUNTIF(Monthly_Actuals!$H$4:$I$79,"&lt;0")=0,"OK","ERROR")</f>
        <v>OK</v>
      </c>
      <c r="C7" s="3" t="s">
        <v>882</v>
      </c>
    </row>
    <row r="8" spans="1:3">
      <c r="A8" s="4" t="s">
        <v>884</v>
      </c>
      <c r="B8" s="3" t="str">
        <f>IF(ABS(Bridge!E33)&lt;0.01,"OK","ERROR")</f>
        <v>OK</v>
      </c>
      <c r="C8" s="3" t="s">
        <v>885</v>
      </c>
    </row>
    <row r="9" spans="1:3">
      <c r="A9" s="4" t="s">
        <v>886</v>
      </c>
      <c r="B9" s="3" t="str">
        <f>IF(ABS(SUM(Bridge!B17:D28)-SUM(Bridge!E17:E28))&lt;0.01,"OK","ERROR")</f>
        <v>OK</v>
      </c>
      <c r="C9" s="3" t="s">
        <v>885</v>
      </c>
    </row>
    <row r="10" spans="1:3">
      <c r="A10" s="4" t="s">
        <v>887</v>
      </c>
      <c r="B10" s="3" t="str">
        <f>IF(COUNTIF(Interval_Count!$D$4:$D$2852,"&lt;&gt;0")=0,"OK","ERROR")</f>
        <v>OK</v>
      </c>
      <c r="C10" s="3" t="s">
        <v>888</v>
      </c>
    </row>
    <row r="11" spans="1:3">
      <c r="A11" s="4" t="s">
        <v>889</v>
      </c>
      <c r="B11" s="3" t="str">
        <f>IF(SUM(Interval_Count!$C$4:$C$2852)=SUM(Interval_Count!$B$4:$B$2852),"OK","ERROR")</f>
        <v>OK</v>
      </c>
      <c r="C11" s="3" t="s">
        <v>888</v>
      </c>
    </row>
    <row r="12" spans="1:3">
      <c r="A12" s="4" t="s">
        <v>890</v>
      </c>
      <c r="B12" s="3" t="str">
        <f>IF(ABS(Recon_Daily!I1099-(Recon_Daily!H1099-Recon_Daily!G1099))&lt;0.01,"OK","ERROR")</f>
        <v>OK</v>
      </c>
      <c r="C12" s="3" t="s">
        <v>891</v>
      </c>
    </row>
    <row r="13" spans="1:3">
      <c r="A13" s="4" t="s">
        <v>892</v>
      </c>
      <c r="B13" s="3" t="str">
        <f>IF(SUMPRODUCT(--(ABS(Product_PnL!F8:F10-1)&lt;0.0001))=3,"OK","ERROR")</f>
        <v>OK</v>
      </c>
      <c r="C13" s="3" t="s">
        <v>893</v>
      </c>
    </row>
    <row r="14" spans="1:3">
      <c r="A14" s="4" t="s">
        <v>894</v>
      </c>
      <c r="B14" s="3" t="str">
        <f>IF(ABS(Product_PnL!G17-Product_PnL!$B$11)&lt;0.01,"OK","ERROR")</f>
        <v>OK</v>
      </c>
      <c r="C14" s="3" t="s">
        <v>893</v>
      </c>
    </row>
    <row r="15" spans="1:3">
      <c r="A15" s="4" t="s">
        <v>895</v>
      </c>
      <c r="B15" s="3" t="str">
        <f>IF(ABS(Product_PnL!H17-Product_PnL!$B$11)&lt;0.01,"OK","ERROR")</f>
        <v>OK</v>
      </c>
      <c r="C15" s="3" t="s">
        <v>893</v>
      </c>
    </row>
    <row r="16" spans="1:3">
      <c r="A16" s="4" t="s">
        <v>896</v>
      </c>
      <c r="B16" s="3" t="str">
        <f>IF(ABS(Product_PnL!B17-SUMIFS(Monthly_Actuals!$K$4:$K$79,Monthly_Actuals!$A$4:$A$79,"&gt;="&amp;DATE(2025,10,1),Monthly_Actuals!$A$4:$A$79,"&lt;="&amp;DATE(2026,9,1)))&lt;1,"OK","ERROR")</f>
        <v>OK</v>
      </c>
      <c r="C16" s="3" t="s">
        <v>893</v>
      </c>
    </row>
  </sheetData>
  <conditionalFormatting sqref="B2:B16">
    <cfRule type="cellIs" dxfId="1" priority="1" operator="equal">
      <formula>"OK"</formula>
    </cfRule>
    <cfRule type="cellIs" dxfId="2" priority="2" operator="equal">
      <formula>"ERROR"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3" spans="1:1">
      <c r="A3" s="3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/>
    </row>
    <row r="7" spans="1:1">
      <c r="A7" s="3" t="s">
        <v>4</v>
      </c>
    </row>
    <row r="8" spans="1:1">
      <c r="A8" s="3" t="s">
        <v>5</v>
      </c>
    </row>
    <row r="9" spans="1:1">
      <c r="A9" s="3" t="s">
        <v>6</v>
      </c>
    </row>
    <row r="10" spans="1:1">
      <c r="A10" s="3"/>
    </row>
    <row r="11" spans="1:1">
      <c r="A11" s="3" t="s">
        <v>7</v>
      </c>
    </row>
    <row r="12" spans="1:1">
      <c r="A12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cols>
    <col min="1" max="1" width="44.7109375" customWidth="1"/>
    <col min="2" max="2" width="18.7109375" customWidth="1"/>
    <col min="3" max="4" width="22.7109375" customWidth="1"/>
    <col min="5" max="5" width="90.7109375" customWidth="1"/>
  </cols>
  <sheetData>
    <row r="1" spans="1:5">
      <c r="A1" s="1" t="s">
        <v>9</v>
      </c>
    </row>
    <row r="2" spans="1:5">
      <c r="A2" s="5" t="s">
        <v>10</v>
      </c>
    </row>
    <row r="4" spans="1: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>
      <c r="A5" s="3" t="s">
        <v>16</v>
      </c>
      <c r="B5" s="6" t="s">
        <v>17</v>
      </c>
      <c r="C5" s="3" t="s">
        <v>18</v>
      </c>
      <c r="D5" s="3" t="s">
        <v>19</v>
      </c>
      <c r="E5" s="3" t="s">
        <v>20</v>
      </c>
    </row>
    <row r="6" spans="1:5">
      <c r="A6" s="3" t="s">
        <v>21</v>
      </c>
      <c r="B6" s="6">
        <v>0.25</v>
      </c>
      <c r="C6" s="3" t="s">
        <v>22</v>
      </c>
      <c r="D6" s="3" t="s">
        <v>19</v>
      </c>
      <c r="E6" s="3" t="s">
        <v>23</v>
      </c>
    </row>
    <row r="7" spans="1:5">
      <c r="A7" s="3" t="s">
        <v>24</v>
      </c>
      <c r="B7" s="6" t="s">
        <v>25</v>
      </c>
      <c r="C7" s="3" t="s">
        <v>26</v>
      </c>
      <c r="D7" s="3" t="s">
        <v>27</v>
      </c>
      <c r="E7" s="3" t="s">
        <v>28</v>
      </c>
    </row>
    <row r="8" spans="1:5">
      <c r="A8" s="3" t="s">
        <v>29</v>
      </c>
      <c r="B8" s="6">
        <v>0.88</v>
      </c>
      <c r="C8" s="3" t="s">
        <v>30</v>
      </c>
      <c r="D8" s="3" t="s">
        <v>19</v>
      </c>
      <c r="E8" s="3" t="s">
        <v>31</v>
      </c>
    </row>
    <row r="9" spans="1:5">
      <c r="A9" s="3" t="s">
        <v>32</v>
      </c>
      <c r="B9" s="6">
        <v>90000</v>
      </c>
      <c r="C9" s="3" t="s">
        <v>33</v>
      </c>
      <c r="D9" s="3" t="s">
        <v>34</v>
      </c>
      <c r="E9" s="3"/>
    </row>
    <row r="10" spans="1:5">
      <c r="A10" s="3" t="s">
        <v>35</v>
      </c>
      <c r="B10" s="6">
        <v>8000</v>
      </c>
      <c r="C10" s="3" t="s">
        <v>36</v>
      </c>
      <c r="D10" s="3" t="s">
        <v>34</v>
      </c>
      <c r="E10" s="3"/>
    </row>
    <row r="11" spans="1:5">
      <c r="A11" s="3" t="s">
        <v>37</v>
      </c>
      <c r="B11" s="6">
        <v>11.25</v>
      </c>
      <c r="C11" s="3" t="s">
        <v>38</v>
      </c>
      <c r="D11" s="3" t="s">
        <v>19</v>
      </c>
      <c r="E11" s="3">
        <f> replacement value / (lifetime cycles x capacity MWh)</f>
        <v>0</v>
      </c>
    </row>
    <row r="12" spans="1:5">
      <c r="A12" s="3" t="s">
        <v>39</v>
      </c>
      <c r="B12" s="6">
        <v>1.5</v>
      </c>
      <c r="C12" s="3" t="s">
        <v>40</v>
      </c>
      <c r="D12" s="3" t="s">
        <v>19</v>
      </c>
      <c r="E12" s="3" t="s">
        <v>41</v>
      </c>
    </row>
    <row r="13" spans="1:5">
      <c r="A13" s="3" t="s">
        <v>42</v>
      </c>
      <c r="B13" s="6">
        <v>0.5</v>
      </c>
      <c r="C13" s="3" t="s">
        <v>30</v>
      </c>
      <c r="D13" s="3" t="s">
        <v>34</v>
      </c>
      <c r="E13" s="3" t="s">
        <v>43</v>
      </c>
    </row>
    <row r="14" spans="1:5">
      <c r="A14" s="3" t="s">
        <v>44</v>
      </c>
      <c r="B14" s="6">
        <v>0.97</v>
      </c>
      <c r="C14" s="3" t="s">
        <v>30</v>
      </c>
      <c r="D14" s="3" t="s">
        <v>34</v>
      </c>
      <c r="E14" s="3" t="s">
        <v>45</v>
      </c>
    </row>
    <row r="15" spans="1:5">
      <c r="A15" s="3" t="s">
        <v>46</v>
      </c>
      <c r="B15" s="6">
        <v>0.1</v>
      </c>
      <c r="C15" s="3" t="s">
        <v>47</v>
      </c>
      <c r="D15" s="3" t="s">
        <v>34</v>
      </c>
      <c r="E15" s="3" t="s">
        <v>48</v>
      </c>
    </row>
    <row r="16" spans="1:5">
      <c r="A16" s="3" t="s">
        <v>49</v>
      </c>
      <c r="B16" s="6">
        <v>0.25</v>
      </c>
      <c r="C16" s="3" t="s">
        <v>47</v>
      </c>
      <c r="D16" s="3" t="s">
        <v>34</v>
      </c>
      <c r="E16" s="3" t="s">
        <v>50</v>
      </c>
    </row>
    <row r="17" spans="1:5">
      <c r="A17" s="3" t="s">
        <v>51</v>
      </c>
      <c r="B17" s="6">
        <v>0.3</v>
      </c>
      <c r="C17" s="3" t="s">
        <v>52</v>
      </c>
      <c r="D17" s="3" t="s">
        <v>34</v>
      </c>
      <c r="E17" s="3" t="s">
        <v>53</v>
      </c>
    </row>
    <row r="18" spans="1:5">
      <c r="A18" s="3" t="s">
        <v>54</v>
      </c>
      <c r="B18" s="6">
        <v>0.2</v>
      </c>
      <c r="C18" s="3" t="s">
        <v>55</v>
      </c>
      <c r="D18" s="3" t="s">
        <v>34</v>
      </c>
      <c r="E18" s="3" t="s">
        <v>56</v>
      </c>
    </row>
    <row r="19" spans="1:5">
      <c r="A19" s="3" t="s">
        <v>57</v>
      </c>
      <c r="B19" s="6">
        <v>0.25</v>
      </c>
      <c r="C19" s="3" t="s">
        <v>58</v>
      </c>
      <c r="D19" s="3" t="s">
        <v>34</v>
      </c>
      <c r="E19" s="3" t="s">
        <v>59</v>
      </c>
    </row>
    <row r="20" spans="1:5">
      <c r="A20" s="3" t="s">
        <v>60</v>
      </c>
      <c r="B20" s="6">
        <v>0.012</v>
      </c>
      <c r="C20" s="3" t="s">
        <v>61</v>
      </c>
      <c r="D20" s="3" t="s">
        <v>34</v>
      </c>
      <c r="E20" s="3" t="s">
        <v>62</v>
      </c>
    </row>
    <row r="21" spans="1:5">
      <c r="A21" s="3" t="s">
        <v>63</v>
      </c>
      <c r="B21" s="6">
        <v>14</v>
      </c>
      <c r="C21" s="3" t="s">
        <v>64</v>
      </c>
      <c r="D21" s="3" t="s">
        <v>34</v>
      </c>
      <c r="E21" s="3" t="s">
        <v>65</v>
      </c>
    </row>
    <row r="22" spans="1:5">
      <c r="A22" s="3" t="s">
        <v>66</v>
      </c>
      <c r="B22" s="6">
        <v>4.5</v>
      </c>
      <c r="C22" s="3" t="s">
        <v>64</v>
      </c>
      <c r="D22" s="3" t="s">
        <v>34</v>
      </c>
      <c r="E22" s="3" t="s">
        <v>67</v>
      </c>
    </row>
    <row r="23" spans="1:5">
      <c r="A23" s="3" t="s">
        <v>68</v>
      </c>
      <c r="B23" s="6">
        <v>0.12</v>
      </c>
      <c r="C23" s="3" t="s">
        <v>69</v>
      </c>
      <c r="D23" s="3" t="s">
        <v>34</v>
      </c>
      <c r="E23" s="3"/>
    </row>
    <row r="24" spans="1:5">
      <c r="A24" s="3" t="s">
        <v>70</v>
      </c>
      <c r="B24" s="6">
        <v>100</v>
      </c>
      <c r="C24" s="3" t="s">
        <v>71</v>
      </c>
      <c r="D24" s="3" t="s">
        <v>34</v>
      </c>
      <c r="E24" s="3" t="s">
        <v>72</v>
      </c>
    </row>
    <row r="25" spans="1:5">
      <c r="A25" s="3" t="s">
        <v>73</v>
      </c>
      <c r="B25" s="6">
        <v>20</v>
      </c>
      <c r="C25" s="3" t="s">
        <v>71</v>
      </c>
      <c r="D25" s="3" t="s">
        <v>34</v>
      </c>
      <c r="E25" s="3" t="s">
        <v>74</v>
      </c>
    </row>
    <row r="26" spans="1:5">
      <c r="A26" s="3" t="s">
        <v>75</v>
      </c>
      <c r="B26" s="6" t="s">
        <v>76</v>
      </c>
      <c r="C26" s="3" t="s">
        <v>77</v>
      </c>
      <c r="D26" s="3" t="s">
        <v>19</v>
      </c>
      <c r="E26" s="3" t="s">
        <v>78</v>
      </c>
    </row>
    <row r="27" spans="1:5">
      <c r="A27" s="3" t="s">
        <v>79</v>
      </c>
      <c r="B27" s="6">
        <v>0.12</v>
      </c>
      <c r="C27" s="3" t="s">
        <v>47</v>
      </c>
      <c r="D27" s="3" t="s">
        <v>34</v>
      </c>
      <c r="E27" s="3" t="s">
        <v>80</v>
      </c>
    </row>
    <row r="28" spans="1:5">
      <c r="A28" s="3" t="s">
        <v>81</v>
      </c>
      <c r="B28" s="6">
        <v>0.15</v>
      </c>
      <c r="C28" s="3" t="s">
        <v>82</v>
      </c>
      <c r="D28" s="3" t="s">
        <v>34</v>
      </c>
      <c r="E28" s="3" t="s">
        <v>83</v>
      </c>
    </row>
    <row r="29" spans="1:5">
      <c r="A29" s="3" t="s">
        <v>84</v>
      </c>
      <c r="B29" s="6">
        <v>0.12</v>
      </c>
      <c r="C29" s="3" t="s">
        <v>30</v>
      </c>
      <c r="D29" s="3" t="s">
        <v>34</v>
      </c>
      <c r="E29" s="3" t="s">
        <v>85</v>
      </c>
    </row>
    <row r="30" spans="1:5">
      <c r="A30" s="3" t="s">
        <v>86</v>
      </c>
      <c r="B30" s="6">
        <v>0.2</v>
      </c>
      <c r="C30" s="3" t="s">
        <v>30</v>
      </c>
      <c r="D30" s="3" t="s">
        <v>34</v>
      </c>
      <c r="E30" s="3" t="s">
        <v>87</v>
      </c>
    </row>
    <row r="31" spans="1:5">
      <c r="A31" s="3" t="s">
        <v>88</v>
      </c>
      <c r="B31" s="6">
        <v>80000</v>
      </c>
      <c r="C31" s="3" t="s">
        <v>89</v>
      </c>
      <c r="D31" s="3" t="s">
        <v>34</v>
      </c>
      <c r="E31" s="3"/>
    </row>
    <row r="32" spans="1:5">
      <c r="A32" s="3" t="s">
        <v>90</v>
      </c>
      <c r="B32" s="6">
        <v>55000</v>
      </c>
      <c r="C32" s="3" t="s">
        <v>89</v>
      </c>
      <c r="D32" s="3" t="s">
        <v>34</v>
      </c>
      <c r="E32" s="3" t="s">
        <v>91</v>
      </c>
    </row>
    <row r="33" spans="1:5">
      <c r="A33" s="3" t="s">
        <v>92</v>
      </c>
      <c r="B33" s="6">
        <v>0.2</v>
      </c>
      <c r="C33" s="3" t="s">
        <v>30</v>
      </c>
      <c r="D33" s="3" t="s">
        <v>34</v>
      </c>
      <c r="E33" s="3"/>
    </row>
    <row r="34" spans="1:5">
      <c r="A34" s="3" t="s">
        <v>93</v>
      </c>
      <c r="B34" s="6">
        <v>1500</v>
      </c>
      <c r="C34" s="3" t="s">
        <v>94</v>
      </c>
      <c r="D34" s="3" t="s">
        <v>34</v>
      </c>
      <c r="E34" s="3" t="s">
        <v>95</v>
      </c>
    </row>
    <row r="35" spans="1:5">
      <c r="A35" s="3" t="s">
        <v>96</v>
      </c>
      <c r="B35" s="6">
        <v>0.15</v>
      </c>
      <c r="C35" s="3" t="s">
        <v>30</v>
      </c>
      <c r="D35" s="3" t="s">
        <v>34</v>
      </c>
      <c r="E35" s="3" t="s">
        <v>97</v>
      </c>
    </row>
    <row r="36" spans="1:5">
      <c r="A36" s="3" t="s">
        <v>98</v>
      </c>
      <c r="B36" s="6">
        <v>30000</v>
      </c>
      <c r="C36" s="3" t="s">
        <v>94</v>
      </c>
      <c r="D36" s="3" t="s">
        <v>34</v>
      </c>
      <c r="E36" s="3" t="s">
        <v>99</v>
      </c>
    </row>
    <row r="37" spans="1:5">
      <c r="A37" s="3" t="s">
        <v>100</v>
      </c>
      <c r="B37" s="6">
        <v>12000</v>
      </c>
      <c r="C37" s="3" t="s">
        <v>94</v>
      </c>
      <c r="D37" s="3" t="s">
        <v>34</v>
      </c>
      <c r="E37" s="3" t="s">
        <v>101</v>
      </c>
    </row>
    <row r="38" spans="1:5">
      <c r="A38" s="3" t="s">
        <v>102</v>
      </c>
      <c r="B38" s="6">
        <v>4000</v>
      </c>
      <c r="C38" s="3" t="s">
        <v>94</v>
      </c>
      <c r="D38" s="3" t="s">
        <v>34</v>
      </c>
      <c r="E38" s="3"/>
    </row>
    <row r="39" spans="1:5">
      <c r="A39" s="3" t="s">
        <v>103</v>
      </c>
      <c r="B39" s="6">
        <v>1000</v>
      </c>
      <c r="C39" s="3" t="s">
        <v>94</v>
      </c>
      <c r="D39" s="3" t="s">
        <v>34</v>
      </c>
      <c r="E39" s="3" t="s">
        <v>104</v>
      </c>
    </row>
    <row r="40" spans="1:5">
      <c r="A40" s="3" t="s">
        <v>105</v>
      </c>
      <c r="B40" s="6">
        <v>5000</v>
      </c>
      <c r="C40" s="3" t="s">
        <v>94</v>
      </c>
      <c r="D40" s="3" t="s">
        <v>34</v>
      </c>
      <c r="E40" s="3" t="s">
        <v>106</v>
      </c>
    </row>
    <row r="41" spans="1:5">
      <c r="A41" s="3" t="s">
        <v>107</v>
      </c>
      <c r="B41" s="6">
        <v>2500</v>
      </c>
      <c r="C41" s="3" t="s">
        <v>94</v>
      </c>
      <c r="D41" s="3" t="s">
        <v>34</v>
      </c>
      <c r="E41" s="3" t="s">
        <v>108</v>
      </c>
    </row>
    <row r="42" spans="1:5">
      <c r="A42" s="3" t="s">
        <v>109</v>
      </c>
      <c r="B42" s="6">
        <v>2500</v>
      </c>
      <c r="C42" s="3" t="s">
        <v>94</v>
      </c>
      <c r="D42" s="3" t="s">
        <v>34</v>
      </c>
      <c r="E42" s="3" t="s">
        <v>110</v>
      </c>
    </row>
    <row r="43" spans="1:5">
      <c r="A43" s="3" t="s">
        <v>111</v>
      </c>
      <c r="B43" s="6">
        <v>5000</v>
      </c>
      <c r="C43" s="3" t="s">
        <v>94</v>
      </c>
      <c r="D43" s="3" t="s">
        <v>34</v>
      </c>
      <c r="E43" s="3" t="s">
        <v>112</v>
      </c>
    </row>
    <row r="44" spans="1:5">
      <c r="A44" s="3" t="s">
        <v>113</v>
      </c>
      <c r="B44" s="6">
        <v>3000</v>
      </c>
      <c r="C44" s="3" t="s">
        <v>94</v>
      </c>
      <c r="D44" s="3" t="s">
        <v>34</v>
      </c>
      <c r="E44" s="3" t="s">
        <v>114</v>
      </c>
    </row>
    <row r="45" spans="1:5">
      <c r="A45" s="3" t="s">
        <v>115</v>
      </c>
      <c r="B45" s="6">
        <v>2500</v>
      </c>
      <c r="C45" s="3" t="s">
        <v>94</v>
      </c>
      <c r="D45" s="3" t="s">
        <v>34</v>
      </c>
      <c r="E45" s="3" t="s">
        <v>116</v>
      </c>
    </row>
    <row r="46" spans="1:5">
      <c r="A46" s="3" t="s">
        <v>117</v>
      </c>
      <c r="B46" s="6">
        <v>0.18</v>
      </c>
      <c r="C46" s="3" t="s">
        <v>30</v>
      </c>
      <c r="D46" s="3" t="s">
        <v>34</v>
      </c>
      <c r="E46" s="3" t="s">
        <v>118</v>
      </c>
    </row>
    <row r="47" spans="1:5">
      <c r="A47" s="3" t="s">
        <v>119</v>
      </c>
      <c r="B47" s="6">
        <v>0.67</v>
      </c>
      <c r="C47" s="3" t="s">
        <v>30</v>
      </c>
      <c r="D47" s="3" t="s">
        <v>34</v>
      </c>
      <c r="E47" s="3" t="s">
        <v>118</v>
      </c>
    </row>
    <row r="48" spans="1:5">
      <c r="A48" s="3" t="s">
        <v>120</v>
      </c>
      <c r="B48" s="6">
        <v>0.15</v>
      </c>
      <c r="C48" s="3" t="s">
        <v>30</v>
      </c>
      <c r="D48" s="3" t="s">
        <v>34</v>
      </c>
      <c r="E48" s="3" t="s">
        <v>118</v>
      </c>
    </row>
    <row r="49" spans="1:5">
      <c r="A49" s="3" t="s">
        <v>121</v>
      </c>
      <c r="B49" s="6">
        <v>0.2</v>
      </c>
      <c r="C49" s="3" t="s">
        <v>30</v>
      </c>
      <c r="D49" s="3" t="s">
        <v>34</v>
      </c>
      <c r="E49" s="3" t="s">
        <v>118</v>
      </c>
    </row>
    <row r="50" spans="1:5">
      <c r="A50" s="3" t="s">
        <v>122</v>
      </c>
      <c r="B50" s="6">
        <v>0.55</v>
      </c>
      <c r="C50" s="3" t="s">
        <v>30</v>
      </c>
      <c r="D50" s="3" t="s">
        <v>34</v>
      </c>
      <c r="E50" s="3" t="s">
        <v>118</v>
      </c>
    </row>
    <row r="51" spans="1:5">
      <c r="A51" s="3" t="s">
        <v>123</v>
      </c>
      <c r="B51" s="6">
        <v>0.25</v>
      </c>
      <c r="C51" s="3" t="s">
        <v>30</v>
      </c>
      <c r="D51" s="3" t="s">
        <v>34</v>
      </c>
      <c r="E51" s="3" t="s">
        <v>118</v>
      </c>
    </row>
    <row r="52" spans="1:5">
      <c r="A52" s="3" t="s">
        <v>124</v>
      </c>
      <c r="B52" s="6">
        <v>0.35</v>
      </c>
      <c r="C52" s="3" t="s">
        <v>30</v>
      </c>
      <c r="D52" s="3" t="s">
        <v>34</v>
      </c>
      <c r="E52" s="3" t="s">
        <v>118</v>
      </c>
    </row>
    <row r="53" spans="1:5">
      <c r="A53" s="3" t="s">
        <v>125</v>
      </c>
      <c r="B53" s="6">
        <v>0.55</v>
      </c>
      <c r="C53" s="3" t="s">
        <v>30</v>
      </c>
      <c r="D53" s="3" t="s">
        <v>34</v>
      </c>
      <c r="E53" s="3" t="s">
        <v>118</v>
      </c>
    </row>
    <row r="54" spans="1:5">
      <c r="A54" s="3" t="s">
        <v>126</v>
      </c>
      <c r="B54" s="6">
        <v>0.1</v>
      </c>
      <c r="C54" s="3" t="s">
        <v>30</v>
      </c>
      <c r="D54" s="3" t="s">
        <v>34</v>
      </c>
      <c r="E54" s="3" t="s">
        <v>118</v>
      </c>
    </row>
    <row r="55" spans="1:5">
      <c r="A55" s="3" t="s">
        <v>127</v>
      </c>
      <c r="B55" s="6">
        <v>0.005</v>
      </c>
      <c r="C55" s="3" t="s">
        <v>128</v>
      </c>
      <c r="D55" s="3" t="s">
        <v>34</v>
      </c>
      <c r="E55" s="3" t="s">
        <v>129</v>
      </c>
    </row>
    <row r="56" spans="1:5">
      <c r="A56" s="3" t="s">
        <v>130</v>
      </c>
      <c r="B56" s="6">
        <v>0.5</v>
      </c>
      <c r="C56" s="3" t="s">
        <v>131</v>
      </c>
      <c r="D56" s="3" t="s">
        <v>34</v>
      </c>
      <c r="E56" s="3" t="s">
        <v>132</v>
      </c>
    </row>
    <row r="57" spans="1:5">
      <c r="A57" s="3" t="s">
        <v>133</v>
      </c>
      <c r="B57" s="6">
        <v>0.005</v>
      </c>
      <c r="C57" s="3" t="s">
        <v>134</v>
      </c>
      <c r="D57" s="3" t="s">
        <v>34</v>
      </c>
      <c r="E57" s="3"/>
    </row>
    <row r="58" spans="1:5">
      <c r="A58" s="3" t="s">
        <v>135</v>
      </c>
      <c r="B58" s="6">
        <v>0.9</v>
      </c>
      <c r="C58" s="3" t="s">
        <v>30</v>
      </c>
      <c r="D58" s="3" t="s">
        <v>19</v>
      </c>
      <c r="E58" s="3" t="s">
        <v>136</v>
      </c>
    </row>
    <row r="59" spans="1:5">
      <c r="A59" s="3" t="s">
        <v>137</v>
      </c>
      <c r="B59" s="6">
        <v>0.05</v>
      </c>
      <c r="C59" s="3" t="s">
        <v>30</v>
      </c>
      <c r="D59" s="3" t="s">
        <v>19</v>
      </c>
      <c r="E59" s="3" t="s">
        <v>138</v>
      </c>
    </row>
    <row r="60" spans="1:5">
      <c r="A60" s="3" t="s">
        <v>139</v>
      </c>
      <c r="B60" s="6">
        <v>25000</v>
      </c>
      <c r="C60" s="3" t="s">
        <v>131</v>
      </c>
      <c r="D60" s="3" t="s">
        <v>19</v>
      </c>
      <c r="E60" s="3" t="s">
        <v>140</v>
      </c>
    </row>
    <row r="61" spans="1:5">
      <c r="A61" s="3" t="s">
        <v>141</v>
      </c>
      <c r="B61" s="6">
        <v>4000</v>
      </c>
      <c r="C61" s="3" t="s">
        <v>142</v>
      </c>
      <c r="D61" s="3" t="s">
        <v>34</v>
      </c>
      <c r="E61" s="3"/>
    </row>
    <row r="62" spans="1:5">
      <c r="A62" s="3" t="s">
        <v>143</v>
      </c>
      <c r="B62" s="6">
        <v>42</v>
      </c>
      <c r="C62" s="3" t="s">
        <v>144</v>
      </c>
      <c r="D62" s="3" t="s">
        <v>34</v>
      </c>
      <c r="E62" s="3"/>
    </row>
    <row r="63" spans="1:5">
      <c r="A63" s="3" t="s">
        <v>145</v>
      </c>
      <c r="B63" s="6" t="s">
        <v>146</v>
      </c>
      <c r="C63" s="3" t="s">
        <v>147</v>
      </c>
      <c r="D63" s="3" t="s">
        <v>27</v>
      </c>
      <c r="E63" s="3" t="s">
        <v>148</v>
      </c>
    </row>
    <row r="64" spans="1:5">
      <c r="A64" s="3" t="s">
        <v>149</v>
      </c>
      <c r="B64" s="6" t="s">
        <v>150</v>
      </c>
      <c r="C64" s="3" t="s">
        <v>147</v>
      </c>
      <c r="D64" s="3" t="s">
        <v>34</v>
      </c>
      <c r="E64" s="3" t="s">
        <v>151</v>
      </c>
    </row>
    <row r="65" spans="1:5">
      <c r="A65" s="3" t="s">
        <v>152</v>
      </c>
      <c r="B65" s="6" t="s">
        <v>153</v>
      </c>
      <c r="C65" s="3" t="s">
        <v>147</v>
      </c>
      <c r="D65" s="3" t="s">
        <v>34</v>
      </c>
      <c r="E65" s="3" t="s">
        <v>154</v>
      </c>
    </row>
    <row r="66" spans="1:5">
      <c r="A66" s="3" t="s">
        <v>155</v>
      </c>
      <c r="B66" s="6" t="s">
        <v>156</v>
      </c>
      <c r="C66" s="3" t="s">
        <v>147</v>
      </c>
      <c r="D66" s="3" t="s">
        <v>34</v>
      </c>
      <c r="E6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0"/>
  <sheetViews>
    <sheetView workbookViewId="0"/>
  </sheetViews>
  <sheetFormatPr defaultRowHeight="15"/>
  <cols>
    <col min="1" max="1" width="10.7109375" customWidth="1"/>
    <col min="2" max="2" width="9.7109375" customWidth="1"/>
    <col min="3" max="13" width="14.7109375" customWidth="1"/>
  </cols>
  <sheetData>
    <row r="1" spans="1:13">
      <c r="A1" s="1" t="s">
        <v>157</v>
      </c>
    </row>
    <row r="3" spans="1:13">
      <c r="A3" s="2" t="s">
        <v>158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  <c r="G3" s="2" t="s">
        <v>164</v>
      </c>
      <c r="H3" s="2" t="s">
        <v>165</v>
      </c>
      <c r="I3" s="2" t="s">
        <v>166</v>
      </c>
      <c r="J3" s="2" t="s">
        <v>167</v>
      </c>
      <c r="K3" s="2" t="s">
        <v>171</v>
      </c>
      <c r="L3" s="2" t="s">
        <v>172</v>
      </c>
      <c r="M3" s="2" t="s">
        <v>173</v>
      </c>
    </row>
    <row r="4" spans="1:13">
      <c r="A4" s="7">
        <v>45292</v>
      </c>
      <c r="B4" s="3" t="s">
        <v>168</v>
      </c>
      <c r="C4" s="8">
        <v>60</v>
      </c>
      <c r="D4" s="9">
        <v>2417.820710535639</v>
      </c>
      <c r="E4" s="9">
        <v>6456.680306544034</v>
      </c>
      <c r="F4" s="9">
        <v>87580.4109840008</v>
      </c>
      <c r="G4" s="9">
        <v>102485.2968673242</v>
      </c>
      <c r="H4" s="9">
        <v>839.3684398507245</v>
      </c>
      <c r="I4" s="9">
        <v>27200.48299352594</v>
      </c>
      <c r="J4" s="9">
        <v>-5138.260396024218</v>
      </c>
      <c r="K4" s="9">
        <f>F4+G4-H4-I4-J4</f>
        <v>167164.11681397253</v>
      </c>
      <c r="L4" s="9">
        <v>167164.1168139725</v>
      </c>
      <c r="M4" s="3" t="b">
        <f>ABS(K4-L4)&lt;0.01</f>
        <v>1</v>
      </c>
    </row>
    <row r="5" spans="1:13">
      <c r="A5" s="7">
        <v>45323</v>
      </c>
      <c r="B5" s="3" t="s">
        <v>168</v>
      </c>
      <c r="C5" s="8">
        <v>60</v>
      </c>
      <c r="D5" s="9">
        <v>2931.963756240538</v>
      </c>
      <c r="E5" s="9">
        <v>7829.675939960526</v>
      </c>
      <c r="F5" s="9">
        <v>84871.59977516462</v>
      </c>
      <c r="G5" s="9">
        <v>95225.11134264864</v>
      </c>
      <c r="H5" s="9">
        <v>1017.857872194868</v>
      </c>
      <c r="I5" s="9">
        <v>32984.59225770606</v>
      </c>
      <c r="J5" s="9">
        <v>4820.511308501737</v>
      </c>
      <c r="K5" s="9">
        <f>F5+G5-H5-I5-J5</f>
        <v>141273.74967941057</v>
      </c>
      <c r="L5" s="9">
        <v>141273.7496794106</v>
      </c>
      <c r="M5" s="3" t="b">
        <f>ABS(K5-L5)&lt;0.01</f>
        <v>1</v>
      </c>
    </row>
    <row r="6" spans="1:13">
      <c r="A6" s="7">
        <v>45352</v>
      </c>
      <c r="B6" s="3" t="s">
        <v>168</v>
      </c>
      <c r="C6" s="8">
        <v>60</v>
      </c>
      <c r="D6" s="9">
        <v>3660.306801945437</v>
      </c>
      <c r="E6" s="9">
        <v>9774.68293701338</v>
      </c>
      <c r="F6" s="9">
        <v>167078.3280162867</v>
      </c>
      <c r="G6" s="9">
        <v>109233.196628893</v>
      </c>
      <c r="H6" s="9">
        <v>1270.70878181174</v>
      </c>
      <c r="I6" s="9">
        <v>41178.45152188616</v>
      </c>
      <c r="J6" s="9">
        <v>-1351.601916810073</v>
      </c>
      <c r="K6" s="9">
        <f>F6+G6-H6-I6-J6</f>
        <v>235213.96625829182</v>
      </c>
      <c r="L6" s="9">
        <v>235213.9662582918</v>
      </c>
      <c r="M6" s="3" t="b">
        <f>ABS(K6-L6)&lt;0.01</f>
        <v>1</v>
      </c>
    </row>
    <row r="7" spans="1:13">
      <c r="A7" s="7">
        <v>45383</v>
      </c>
      <c r="B7" s="3" t="s">
        <v>168</v>
      </c>
      <c r="C7" s="8">
        <v>60</v>
      </c>
      <c r="D7" s="9">
        <v>3611.506294327954</v>
      </c>
      <c r="E7" s="9">
        <v>9644.363399625783</v>
      </c>
      <c r="F7" s="9">
        <v>276986.4081691094</v>
      </c>
      <c r="G7" s="9">
        <v>87935.81262704929</v>
      </c>
      <c r="H7" s="9">
        <v>1253.767241951352</v>
      </c>
      <c r="I7" s="9">
        <v>40629.44581118948</v>
      </c>
      <c r="J7" s="9">
        <v>11316.21308238712</v>
      </c>
      <c r="K7" s="9">
        <f>F7+G7-H7-I7-J7</f>
        <v>311722.7946606307</v>
      </c>
      <c r="L7" s="9">
        <v>311722.7946606307</v>
      </c>
      <c r="M7" s="3" t="b">
        <f>ABS(K7-L7)&lt;0.01</f>
        <v>1</v>
      </c>
    </row>
    <row r="8" spans="1:13">
      <c r="A8" s="7">
        <v>45413</v>
      </c>
      <c r="B8" s="3" t="s">
        <v>168</v>
      </c>
      <c r="C8" s="8">
        <v>60</v>
      </c>
      <c r="D8" s="9">
        <v>3674.569340032853</v>
      </c>
      <c r="E8" s="9">
        <v>9812.770396678639</v>
      </c>
      <c r="F8" s="9">
        <v>311612.8064879398</v>
      </c>
      <c r="G8" s="9">
        <v>80831.3259452994</v>
      </c>
      <c r="H8" s="9">
        <v>1275.660151568223</v>
      </c>
      <c r="I8" s="9">
        <v>41338.9050753696</v>
      </c>
      <c r="J8" s="9">
        <v>-8.1999210201529</v>
      </c>
      <c r="K8" s="9">
        <f>F8+G8-H8-I8-J8</f>
        <v>349837.76712732157</v>
      </c>
      <c r="L8" s="9">
        <v>349837.7671273216</v>
      </c>
      <c r="M8" s="3" t="b">
        <f>ABS(K8-L8)&lt;0.01</f>
        <v>1</v>
      </c>
    </row>
    <row r="9" spans="1:13">
      <c r="A9" s="7">
        <v>45444</v>
      </c>
      <c r="B9" s="3" t="s">
        <v>168</v>
      </c>
      <c r="C9" s="8">
        <v>60</v>
      </c>
      <c r="D9" s="9">
        <v>3658.591878120269</v>
      </c>
      <c r="E9" s="9">
        <v>9770.103310889353</v>
      </c>
      <c r="F9" s="9">
        <v>332892.7122094876</v>
      </c>
      <c r="G9" s="9">
        <v>71437.69198024584</v>
      </c>
      <c r="H9" s="9">
        <v>1270.113430415616</v>
      </c>
      <c r="I9" s="9">
        <v>41159.15862885303</v>
      </c>
      <c r="J9" s="9">
        <v>35.8520294168043</v>
      </c>
      <c r="K9" s="9">
        <f>F9+G9-H9-I9-J9</f>
        <v>361865.28010104795</v>
      </c>
      <c r="L9" s="9">
        <v>361865.2801010479</v>
      </c>
      <c r="M9" s="3" t="b">
        <f>ABS(K9-L9)&lt;0.01</f>
        <v>1</v>
      </c>
    </row>
    <row r="10" spans="1:13">
      <c r="A10" s="7">
        <v>45474</v>
      </c>
      <c r="B10" s="3" t="s">
        <v>168</v>
      </c>
      <c r="C10" s="8">
        <v>60</v>
      </c>
      <c r="D10" s="9">
        <v>3737.149340032853</v>
      </c>
      <c r="E10" s="9">
        <v>9979.887442133186</v>
      </c>
      <c r="F10" s="9">
        <v>349697.2895980788</v>
      </c>
      <c r="G10" s="9">
        <v>86633.31016954168</v>
      </c>
      <c r="H10" s="9">
        <v>1297.385367477314</v>
      </c>
      <c r="I10" s="9">
        <v>42042.9300753696</v>
      </c>
      <c r="J10" s="9">
        <v>-3068.605360946377</v>
      </c>
      <c r="K10" s="9">
        <f>F10+G10-H10-I10-J10</f>
        <v>396058.88968572</v>
      </c>
      <c r="L10" s="9">
        <v>396058.88968572</v>
      </c>
      <c r="M10" s="3" t="b">
        <f>ABS(K10-L10)&lt;0.01</f>
        <v>1</v>
      </c>
    </row>
    <row r="11" spans="1:13">
      <c r="A11" s="7">
        <v>45505</v>
      </c>
      <c r="B11" s="3" t="s">
        <v>168</v>
      </c>
      <c r="C11" s="8">
        <v>60</v>
      </c>
      <c r="D11" s="9">
        <v>3621.32730956292</v>
      </c>
      <c r="E11" s="9">
        <v>9670.589974400978</v>
      </c>
      <c r="F11" s="9">
        <v>406912.3045887576</v>
      </c>
      <c r="G11" s="9">
        <v>90559.77460128909</v>
      </c>
      <c r="H11" s="9">
        <v>1257.176696672127</v>
      </c>
      <c r="I11" s="9">
        <v>40739.93223258285</v>
      </c>
      <c r="J11" s="9">
        <v>8925.221732638067</v>
      </c>
      <c r="K11" s="9">
        <f>F11+G11-H11-I11-J11</f>
        <v>446549.74852815364</v>
      </c>
      <c r="L11" s="9">
        <v>446549.7485281536</v>
      </c>
      <c r="M11" s="3" t="b">
        <f>ABS(K11-L11)&lt;0.01</f>
        <v>1</v>
      </c>
    </row>
    <row r="12" spans="1:13">
      <c r="A12" s="7">
        <v>45536</v>
      </c>
      <c r="B12" s="3" t="s">
        <v>168</v>
      </c>
      <c r="C12" s="8">
        <v>60</v>
      </c>
      <c r="D12" s="9">
        <v>3688.912385737752</v>
      </c>
      <c r="E12" s="9">
        <v>9851.07284827695</v>
      </c>
      <c r="F12" s="9">
        <v>383878.6625349566</v>
      </c>
      <c r="G12" s="9">
        <v>80869.573943679</v>
      </c>
      <c r="H12" s="9">
        <v>1280.639470276004</v>
      </c>
      <c r="I12" s="9">
        <v>41500.26433954971</v>
      </c>
      <c r="J12" s="9">
        <v>9448.09837915456</v>
      </c>
      <c r="K12" s="9">
        <f>F12+G12-H12-I12-J12</f>
        <v>412519.2342896553</v>
      </c>
      <c r="L12" s="9">
        <v>412519.2342896553</v>
      </c>
      <c r="M12" s="3" t="b">
        <f>ABS(K12-L12)&lt;0.01</f>
        <v>1</v>
      </c>
    </row>
    <row r="13" spans="1:13">
      <c r="A13" s="7">
        <v>45566</v>
      </c>
      <c r="B13" s="3" t="s">
        <v>168</v>
      </c>
      <c r="C13" s="8">
        <v>60</v>
      </c>
      <c r="D13" s="9">
        <v>3874.954923825168</v>
      </c>
      <c r="E13" s="9">
        <v>10347.89098976039</v>
      </c>
      <c r="F13" s="9">
        <v>302838.3220775136</v>
      </c>
      <c r="G13" s="9">
        <v>100535.3265240621</v>
      </c>
      <c r="H13" s="9">
        <v>1345.225828668851</v>
      </c>
      <c r="I13" s="9">
        <v>43593.24289303314</v>
      </c>
      <c r="J13" s="9">
        <v>4498.227725886823</v>
      </c>
      <c r="K13" s="9">
        <f>F13+G13-H13-I13-J13</f>
        <v>353936.95215398696</v>
      </c>
      <c r="L13" s="9">
        <v>353936.952153987</v>
      </c>
      <c r="M13" s="3" t="b">
        <f>ABS(K13-L13)&lt;0.01</f>
        <v>1</v>
      </c>
    </row>
    <row r="14" spans="1:13">
      <c r="A14" s="7">
        <v>45597</v>
      </c>
      <c r="B14" s="3" t="s">
        <v>168</v>
      </c>
      <c r="C14" s="8">
        <v>60</v>
      </c>
      <c r="D14" s="9">
        <v>3094.941218153122</v>
      </c>
      <c r="E14" s="9">
        <v>8264.899843931631</v>
      </c>
      <c r="F14" s="9">
        <v>268968.2820573954</v>
      </c>
      <c r="G14" s="9">
        <v>107415.2518124815</v>
      </c>
      <c r="H14" s="9">
        <v>1074.436979711112</v>
      </c>
      <c r="I14" s="9">
        <v>34818.08870422262</v>
      </c>
      <c r="J14" s="9">
        <v>-132.7485205221636</v>
      </c>
      <c r="K14" s="9">
        <f>F14+G14-H14-I14-J14</f>
        <v>340623.75670646527</v>
      </c>
      <c r="L14" s="9">
        <v>340623.7567064653</v>
      </c>
      <c r="M14" s="3" t="b">
        <f>ABS(K14-L14)&lt;0.01</f>
        <v>1</v>
      </c>
    </row>
    <row r="15" spans="1:13">
      <c r="A15" s="7">
        <v>45627</v>
      </c>
      <c r="B15" s="3" t="s">
        <v>168</v>
      </c>
      <c r="C15" s="8">
        <v>60</v>
      </c>
      <c r="D15" s="9">
        <v>2619.858172448223</v>
      </c>
      <c r="E15" s="9">
        <v>6996.212165060594</v>
      </c>
      <c r="F15" s="9">
        <v>230213.4944964919</v>
      </c>
      <c r="G15" s="9">
        <v>112164.9676000627</v>
      </c>
      <c r="H15" s="9">
        <v>909.5075814578772</v>
      </c>
      <c r="I15" s="9">
        <v>29473.40444004251</v>
      </c>
      <c r="J15" s="9">
        <v>-3006.885234239541</v>
      </c>
      <c r="K15" s="9">
        <f>F15+G15-H15-I15-J15</f>
        <v>315002.43530929374</v>
      </c>
      <c r="L15" s="9">
        <v>315002.4353092937</v>
      </c>
      <c r="M15" s="3" t="b">
        <f>ABS(K15-L15)&lt;0.01</f>
        <v>1</v>
      </c>
    </row>
    <row r="16" spans="1:13">
      <c r="A16" s="7">
        <v>45658</v>
      </c>
      <c r="B16" s="3" t="s">
        <v>168</v>
      </c>
      <c r="C16" s="8">
        <v>60</v>
      </c>
      <c r="D16" s="9">
        <v>3067.606294327954</v>
      </c>
      <c r="E16" s="9">
        <v>8191.903172353057</v>
      </c>
      <c r="F16" s="9">
        <v>197093.6456957435</v>
      </c>
      <c r="G16" s="9">
        <v>104581.2166560003</v>
      </c>
      <c r="H16" s="9">
        <v>1064.947412405897</v>
      </c>
      <c r="I16" s="9">
        <v>34510.57081118949</v>
      </c>
      <c r="J16" s="9">
        <v>3842.290004209216</v>
      </c>
      <c r="K16" s="9">
        <f>F16+G16-H16-I16-J16</f>
        <v>262257.0541239392</v>
      </c>
      <c r="L16" s="9">
        <v>262257.0541239392</v>
      </c>
      <c r="M16" s="3" t="b">
        <f>ABS(K16-L16)&lt;0.01</f>
        <v>1</v>
      </c>
    </row>
    <row r="17" spans="1:13">
      <c r="A17" s="7">
        <v>45689</v>
      </c>
      <c r="B17" s="3" t="s">
        <v>168</v>
      </c>
      <c r="C17" s="8">
        <v>60</v>
      </c>
      <c r="D17" s="9">
        <v>3200.193400972718</v>
      </c>
      <c r="E17" s="9">
        <v>8545.971013961234</v>
      </c>
      <c r="F17" s="9">
        <v>175568.2231459628</v>
      </c>
      <c r="G17" s="9">
        <v>71709.88701632262</v>
      </c>
      <c r="H17" s="9">
        <v>1110.976231814961</v>
      </c>
      <c r="I17" s="9">
        <v>36002.17576094309</v>
      </c>
      <c r="J17" s="9">
        <v>185.1674226921979</v>
      </c>
      <c r="K17" s="9">
        <f>F17+G17-H17-I17-J17</f>
        <v>209979.79074683512</v>
      </c>
      <c r="L17" s="9">
        <v>209979.7907468351</v>
      </c>
      <c r="M17" s="3" t="b">
        <f>ABS(K17-L17)&lt;0.01</f>
        <v>1</v>
      </c>
    </row>
    <row r="18" spans="1:13">
      <c r="A18" s="7">
        <v>45717</v>
      </c>
      <c r="B18" s="3" t="s">
        <v>168</v>
      </c>
      <c r="C18" s="8">
        <v>60</v>
      </c>
      <c r="D18" s="9">
        <v>3791.66883241537</v>
      </c>
      <c r="E18" s="9">
        <v>10125.47926838195</v>
      </c>
      <c r="F18" s="9">
        <v>377929.6113814223</v>
      </c>
      <c r="G18" s="9">
        <v>90872.127496224</v>
      </c>
      <c r="H18" s="9">
        <v>1316.312304889654</v>
      </c>
      <c r="I18" s="9">
        <v>42656.27436467291</v>
      </c>
      <c r="J18" s="9">
        <v>40064.67609430228</v>
      </c>
      <c r="K18" s="9">
        <f>F18+G18-H18-I18-J18</f>
        <v>384764.4761137815</v>
      </c>
      <c r="L18" s="9">
        <v>384764.4761137815</v>
      </c>
      <c r="M18" s="3" t="b">
        <f>ABS(K18-L18)&lt;0.01</f>
        <v>1</v>
      </c>
    </row>
    <row r="19" spans="1:13">
      <c r="A19" s="7">
        <v>45748</v>
      </c>
      <c r="B19" s="3" t="s">
        <v>168</v>
      </c>
      <c r="C19" s="8">
        <v>60</v>
      </c>
      <c r="D19" s="9">
        <v>3568.729340032853</v>
      </c>
      <c r="E19" s="9">
        <v>9530.12948758773</v>
      </c>
      <c r="F19" s="9">
        <v>411664.0125592824</v>
      </c>
      <c r="G19" s="9">
        <v>93410.40082881656</v>
      </c>
      <c r="H19" s="9">
        <v>1238.916833386405</v>
      </c>
      <c r="I19" s="9">
        <v>40148.20507536959</v>
      </c>
      <c r="J19" s="9">
        <v>17956.16219829491</v>
      </c>
      <c r="K19" s="9">
        <f>F19+G19-H19-I19-J19</f>
        <v>445731.1292810481</v>
      </c>
      <c r="L19" s="9">
        <v>445731.1292810481</v>
      </c>
      <c r="M19" s="3" t="b">
        <f>ABS(K19-L19)&lt;0.01</f>
        <v>1</v>
      </c>
    </row>
    <row r="20" spans="1:13">
      <c r="A20" s="7">
        <v>45778</v>
      </c>
      <c r="B20" s="3" t="s">
        <v>168</v>
      </c>
      <c r="C20" s="8">
        <v>60</v>
      </c>
      <c r="D20" s="9">
        <v>3642.81035526782</v>
      </c>
      <c r="E20" s="9">
        <v>9727.959471453834</v>
      </c>
      <c r="F20" s="9">
        <v>430688.4105858678</v>
      </c>
      <c r="G20" s="9">
        <v>86232.69318617565</v>
      </c>
      <c r="H20" s="9">
        <v>1264.634731288999</v>
      </c>
      <c r="I20" s="9">
        <v>40981.61649676297</v>
      </c>
      <c r="J20" s="9">
        <v>29983.01681524213</v>
      </c>
      <c r="K20" s="9">
        <f>F20+G20-H20-I20-J20</f>
        <v>444691.83572874934</v>
      </c>
      <c r="L20" s="9">
        <v>444691.8357287493</v>
      </c>
      <c r="M20" s="3" t="b">
        <f>ABS(K20-L20)&lt;0.01</f>
        <v>1</v>
      </c>
    </row>
    <row r="21" spans="1:13">
      <c r="A21" s="7">
        <v>45809</v>
      </c>
      <c r="B21" s="3" t="s">
        <v>168</v>
      </c>
      <c r="C21" s="8">
        <v>60</v>
      </c>
      <c r="D21" s="9">
        <v>3433.783248623055</v>
      </c>
      <c r="E21" s="9">
        <v>9169.76208439111</v>
      </c>
      <c r="F21" s="9">
        <v>410580.4042906794</v>
      </c>
      <c r="G21" s="9">
        <v>71936.40695792335</v>
      </c>
      <c r="H21" s="9">
        <v>1192.069070970844</v>
      </c>
      <c r="I21" s="9">
        <v>38630.06154700937</v>
      </c>
      <c r="J21" s="9">
        <v>1247.264019117738</v>
      </c>
      <c r="K21" s="9">
        <f>F21+G21-H21-I21-J21</f>
        <v>441447.4166115047</v>
      </c>
      <c r="L21" s="9">
        <v>441447.4166115047</v>
      </c>
      <c r="M21" s="3" t="b">
        <f>ABS(K21-L21)&lt;0.01</f>
        <v>1</v>
      </c>
    </row>
    <row r="22" spans="1:13">
      <c r="A22" s="7">
        <v>45839</v>
      </c>
      <c r="B22" s="3" t="s">
        <v>168</v>
      </c>
      <c r="C22" s="8">
        <v>60</v>
      </c>
      <c r="D22" s="9">
        <v>3256.49766483074</v>
      </c>
      <c r="E22" s="9">
        <v>8696.328991309359</v>
      </c>
      <c r="F22" s="9">
        <v>265645.6509266986</v>
      </c>
      <c r="G22" s="9">
        <v>85275.95615568067</v>
      </c>
      <c r="H22" s="9">
        <v>1130.522768870217</v>
      </c>
      <c r="I22" s="9">
        <v>36635.59872934582</v>
      </c>
      <c r="J22" s="9">
        <v>12723.42192767074</v>
      </c>
      <c r="K22" s="9">
        <f>F22+G22-H22-I22-J22</f>
        <v>300432.0636564925</v>
      </c>
      <c r="L22" s="9">
        <v>300432.0636564925</v>
      </c>
      <c r="M22" s="3" t="b">
        <f>ABS(K22-L22)&lt;0.01</f>
        <v>1</v>
      </c>
    </row>
    <row r="23" spans="1:13">
      <c r="A23" s="7">
        <v>45870</v>
      </c>
      <c r="B23" s="3" t="s">
        <v>168</v>
      </c>
      <c r="C23" s="8">
        <v>60</v>
      </c>
      <c r="D23" s="9">
        <v>3461.422741005571</v>
      </c>
      <c r="E23" s="9">
        <v>9243.572092458058</v>
      </c>
      <c r="F23" s="9">
        <v>364842.6094188789</v>
      </c>
      <c r="G23" s="9">
        <v>82237.75918040797</v>
      </c>
      <c r="H23" s="9">
        <v>1201.664372019548</v>
      </c>
      <c r="I23" s="9">
        <v>38941.00583631268</v>
      </c>
      <c r="J23" s="9">
        <v>8081.93488056619</v>
      </c>
      <c r="K23" s="9">
        <f>F23+G23-H23-I23-J23</f>
        <v>398855.7635103885</v>
      </c>
      <c r="L23" s="9">
        <v>398855.7635103885</v>
      </c>
      <c r="M23" s="3" t="b">
        <f>ABS(K23-L23)&lt;0.01</f>
        <v>1</v>
      </c>
    </row>
    <row r="24" spans="1:13">
      <c r="A24" s="7">
        <v>45901</v>
      </c>
      <c r="B24" s="3" t="s">
        <v>168</v>
      </c>
      <c r="C24" s="8">
        <v>60</v>
      </c>
      <c r="D24" s="9">
        <v>3733.512893355236</v>
      </c>
      <c r="E24" s="9">
        <v>9970.176476573637</v>
      </c>
      <c r="F24" s="9">
        <v>466820.9807829866</v>
      </c>
      <c r="G24" s="9">
        <v>95977.52610637143</v>
      </c>
      <c r="H24" s="9">
        <v>1296.122941954573</v>
      </c>
      <c r="I24" s="9">
        <v>42002.0200502464</v>
      </c>
      <c r="J24" s="9">
        <v>21319.91819262796</v>
      </c>
      <c r="K24" s="9">
        <f>F24+G24-H24-I24-J24</f>
        <v>498180.4457045292</v>
      </c>
      <c r="L24" s="9">
        <v>498180.4457045292</v>
      </c>
      <c r="M24" s="3" t="b">
        <f>ABS(K24-L24)&lt;0.01</f>
        <v>1</v>
      </c>
    </row>
    <row r="25" spans="1:13">
      <c r="A25" s="7">
        <v>45931</v>
      </c>
      <c r="B25" s="3" t="s">
        <v>168</v>
      </c>
      <c r="C25" s="8">
        <v>60</v>
      </c>
      <c r="D25" s="9">
        <v>3858.798984765034</v>
      </c>
      <c r="E25" s="9">
        <v>10304.74728886117</v>
      </c>
      <c r="F25" s="9">
        <v>337971.7555617909</v>
      </c>
      <c r="G25" s="9">
        <v>78284.38023769113</v>
      </c>
      <c r="H25" s="9">
        <v>1339.617147551952</v>
      </c>
      <c r="I25" s="9">
        <v>43411.48857860663</v>
      </c>
      <c r="J25" s="9">
        <v>36431.76696038415</v>
      </c>
      <c r="K25" s="9">
        <f>F25+G25-H25-I25-J25</f>
        <v>335073.26311293925</v>
      </c>
      <c r="L25" s="9">
        <v>335073.2631129393</v>
      </c>
      <c r="M25" s="3" t="b">
        <f>ABS(K25-L25)&lt;0.01</f>
        <v>1</v>
      </c>
    </row>
    <row r="26" spans="1:13">
      <c r="A26" s="7">
        <v>45962</v>
      </c>
      <c r="B26" s="3" t="s">
        <v>168</v>
      </c>
      <c r="C26" s="8">
        <v>60</v>
      </c>
      <c r="D26" s="9">
        <v>3463.113400972718</v>
      </c>
      <c r="E26" s="9">
        <v>9248.086923052144</v>
      </c>
      <c r="F26" s="9">
        <v>197456.1131130166</v>
      </c>
      <c r="G26" s="9">
        <v>71432.56022965536</v>
      </c>
      <c r="H26" s="9">
        <v>1202.251299996779</v>
      </c>
      <c r="I26" s="9">
        <v>38960.02576094308</v>
      </c>
      <c r="J26" s="9">
        <v>3134.369902681698</v>
      </c>
      <c r="K26" s="9">
        <f>F26+G26-H26-I26-J26</f>
        <v>225592.02637905043</v>
      </c>
      <c r="L26" s="9">
        <v>225592.0263790504</v>
      </c>
      <c r="M26" s="3" t="b">
        <f>ABS(K26-L26)&lt;0.01</f>
        <v>1</v>
      </c>
    </row>
    <row r="27" spans="1:13">
      <c r="A27" s="7">
        <v>45992</v>
      </c>
      <c r="B27" s="3" t="s">
        <v>168</v>
      </c>
      <c r="C27" s="8">
        <v>60</v>
      </c>
      <c r="D27" s="9">
        <v>2829.098680065706</v>
      </c>
      <c r="E27" s="9">
        <v>7554.979429720918</v>
      </c>
      <c r="F27" s="9">
        <v>108443.7575582922</v>
      </c>
      <c r="G27" s="9">
        <v>71469.83840601843</v>
      </c>
      <c r="H27" s="9">
        <v>982.1473258637194</v>
      </c>
      <c r="I27" s="9">
        <v>31827.36015073919</v>
      </c>
      <c r="J27" s="9">
        <v>-3485.276026869026</v>
      </c>
      <c r="K27" s="9">
        <f>F27+G27-H27-I27-J27</f>
        <v>150589.36451457674</v>
      </c>
      <c r="L27" s="9">
        <v>150589.3645145767</v>
      </c>
      <c r="M27" s="3" t="b">
        <f>ABS(K27-L27)&lt;0.01</f>
        <v>1</v>
      </c>
    </row>
    <row r="28" spans="1:13">
      <c r="A28" s="7">
        <v>46023</v>
      </c>
      <c r="B28" s="3" t="s">
        <v>168</v>
      </c>
      <c r="C28" s="8">
        <v>60</v>
      </c>
      <c r="D28" s="9">
        <v>2870.93766483074</v>
      </c>
      <c r="E28" s="9">
        <v>7666.708536763906</v>
      </c>
      <c r="F28" s="9">
        <v>149785.5523757031</v>
      </c>
      <c r="G28" s="9">
        <v>69539.38304391345</v>
      </c>
      <c r="H28" s="9">
        <v>996.6721097793078</v>
      </c>
      <c r="I28" s="9">
        <v>32298.04872934582</v>
      </c>
      <c r="J28" s="9">
        <v>5761.641637428188</v>
      </c>
      <c r="K28" s="9">
        <f>F28+G28-H28-I28-J28</f>
        <v>180268.57294306325</v>
      </c>
      <c r="L28" s="9">
        <v>180268.5729430632</v>
      </c>
      <c r="M28" s="3" t="b">
        <f>ABS(K28-L28)&lt;0.01</f>
        <v>1</v>
      </c>
    </row>
    <row r="29" spans="1:13">
      <c r="A29" s="7">
        <v>46054</v>
      </c>
      <c r="B29" s="3" t="s">
        <v>168</v>
      </c>
      <c r="C29" s="8">
        <v>60</v>
      </c>
      <c r="D29" s="9">
        <v>3018.270355267819</v>
      </c>
      <c r="E29" s="9">
        <v>8060.153789635652</v>
      </c>
      <c r="F29" s="9">
        <v>124846.9842181754</v>
      </c>
      <c r="G29" s="9">
        <v>60907.06577743476</v>
      </c>
      <c r="H29" s="9">
        <v>1047.819992652635</v>
      </c>
      <c r="I29" s="9">
        <v>33955.54149676297</v>
      </c>
      <c r="J29" s="9">
        <v>3984.153722582119</v>
      </c>
      <c r="K29" s="9">
        <f>F29+G29-H29-I29-J29</f>
        <v>146766.53478361247</v>
      </c>
      <c r="L29" s="9">
        <v>146766.5347836125</v>
      </c>
      <c r="M29" s="3" t="b">
        <f>ABS(K29-L29)&lt;0.01</f>
        <v>1</v>
      </c>
    </row>
    <row r="30" spans="1:13">
      <c r="A30" s="7">
        <v>46082</v>
      </c>
      <c r="B30" s="3" t="s">
        <v>168</v>
      </c>
      <c r="C30" s="8">
        <v>60</v>
      </c>
      <c r="D30" s="9">
        <v>3800.373400972719</v>
      </c>
      <c r="E30" s="9">
        <v>10148.72442305214</v>
      </c>
      <c r="F30" s="9">
        <v>483253.9410055024</v>
      </c>
      <c r="G30" s="9">
        <v>65439.74769293406</v>
      </c>
      <c r="H30" s="9">
        <v>1319.334174996779</v>
      </c>
      <c r="I30" s="9">
        <v>42754.20076094309</v>
      </c>
      <c r="J30" s="9">
        <v>22052.15904376146</v>
      </c>
      <c r="K30" s="9">
        <f>F30+G30-H30-I30-J30</f>
        <v>482567.994718735</v>
      </c>
      <c r="L30" s="9">
        <v>482567.994718735</v>
      </c>
      <c r="M30" s="3" t="b">
        <f>ABS(K30-L30)&lt;0.01</f>
        <v>1</v>
      </c>
    </row>
    <row r="31" spans="1:13">
      <c r="A31" s="7">
        <v>46113</v>
      </c>
      <c r="B31" s="3" t="s">
        <v>168</v>
      </c>
      <c r="C31" s="8">
        <v>60</v>
      </c>
      <c r="D31" s="9">
        <v>3673.354923825168</v>
      </c>
      <c r="E31" s="9">
        <v>9809.527353396754</v>
      </c>
      <c r="F31" s="9">
        <v>506660.4258738905</v>
      </c>
      <c r="G31" s="9">
        <v>58942.93871202054</v>
      </c>
      <c r="H31" s="9">
        <v>1432.190993595926</v>
      </c>
      <c r="I31" s="9">
        <v>41325.24289303314</v>
      </c>
      <c r="J31" s="9">
        <v>12833.90699475231</v>
      </c>
      <c r="K31" s="9">
        <f>F31+G31-H31-I31-J31</f>
        <v>510012.02370452974</v>
      </c>
      <c r="L31" s="9">
        <v>510012.0237045297</v>
      </c>
      <c r="M31" s="3" t="b">
        <f>ABS(K31-L31)&lt;0.01</f>
        <v>1</v>
      </c>
    </row>
    <row r="32" spans="1:13">
      <c r="A32" s="7">
        <v>46143</v>
      </c>
      <c r="B32" s="3" t="s">
        <v>168</v>
      </c>
      <c r="C32" s="8">
        <v>60</v>
      </c>
      <c r="D32" s="9">
        <v>3621.211878120269</v>
      </c>
      <c r="E32" s="9">
        <v>9670.281719980261</v>
      </c>
      <c r="F32" s="9">
        <v>505123.4765967705</v>
      </c>
      <c r="G32" s="9">
        <v>44489.32672200428</v>
      </c>
      <c r="H32" s="9">
        <v>1411.861131117118</v>
      </c>
      <c r="I32" s="9">
        <v>40738.63362885303</v>
      </c>
      <c r="J32" s="9">
        <v>-8967.741647013774</v>
      </c>
      <c r="K32" s="9">
        <f>F32+G32-H32-I32-J32</f>
        <v>516430.05020581844</v>
      </c>
      <c r="L32" s="9">
        <v>516430.0502058184</v>
      </c>
      <c r="M32" s="3" t="b">
        <f>ABS(K32-L32)&lt;0.01</f>
        <v>1</v>
      </c>
    </row>
    <row r="33" spans="1:13">
      <c r="A33" s="7">
        <v>46174</v>
      </c>
      <c r="B33" s="3" t="s">
        <v>168</v>
      </c>
      <c r="C33" s="8">
        <v>60</v>
      </c>
      <c r="D33" s="9">
        <v>3456.186801945437</v>
      </c>
      <c r="E33" s="9">
        <v>9229.5897551952</v>
      </c>
      <c r="F33" s="9">
        <v>525707.0067645336</v>
      </c>
      <c r="G33" s="9">
        <v>50319.32385087399</v>
      </c>
      <c r="H33" s="9">
        <v>1347.520104258499</v>
      </c>
      <c r="I33" s="9">
        <v>38882.10152188617</v>
      </c>
      <c r="J33" s="9">
        <v>1388.17583977531</v>
      </c>
      <c r="K33" s="9">
        <f>F33+G33-H33-I33-J33</f>
        <v>534408.5331494875</v>
      </c>
      <c r="L33" s="9">
        <v>534408.5331494875</v>
      </c>
      <c r="M33" s="3" t="b">
        <f>ABS(K33-L33)&lt;0.01</f>
        <v>1</v>
      </c>
    </row>
    <row r="34" spans="1:13">
      <c r="A34" s="7">
        <v>46204</v>
      </c>
      <c r="B34" s="3" t="s">
        <v>168</v>
      </c>
      <c r="C34" s="8">
        <v>60</v>
      </c>
      <c r="D34" s="9">
        <v>3217.920710535639</v>
      </c>
      <c r="E34" s="9">
        <v>8593.310988362216</v>
      </c>
      <c r="F34" s="9">
        <v>434968.2151103747</v>
      </c>
      <c r="G34" s="9">
        <v>58895.97265833473</v>
      </c>
      <c r="H34" s="9">
        <v>1254.623404300884</v>
      </c>
      <c r="I34" s="9">
        <v>36201.60799352594</v>
      </c>
      <c r="J34" s="9">
        <v>10034.22614236529</v>
      </c>
      <c r="K34" s="9">
        <f>F34+G34-H34-I34-J34</f>
        <v>446373.7302285173</v>
      </c>
      <c r="L34" s="9">
        <v>446373.7302285173</v>
      </c>
      <c r="M34" s="3" t="b">
        <f>ABS(K34-L34)&lt;0.01</f>
        <v>1</v>
      </c>
    </row>
    <row r="35" spans="1:13">
      <c r="A35" s="7">
        <v>46235</v>
      </c>
      <c r="B35" s="3" t="s">
        <v>168</v>
      </c>
      <c r="C35" s="8">
        <v>60</v>
      </c>
      <c r="D35" s="9">
        <v>3408.548324797887</v>
      </c>
      <c r="E35" s="9">
        <v>9102.37336735799</v>
      </c>
      <c r="F35" s="9">
        <v>469562.3752197366</v>
      </c>
      <c r="G35" s="9">
        <v>62295.459017113</v>
      </c>
      <c r="H35" s="9">
        <v>1328.946511634267</v>
      </c>
      <c r="I35" s="9">
        <v>38346.16865397622</v>
      </c>
      <c r="J35" s="9">
        <v>20992.23705311485</v>
      </c>
      <c r="K35" s="9">
        <f>F35+G35-H35-I35-J35</f>
        <v>471190.4820181242</v>
      </c>
      <c r="L35" s="9">
        <v>471190.4820181242</v>
      </c>
      <c r="M35" s="3" t="b">
        <f>ABS(K35-L35)&lt;0.01</f>
        <v>1</v>
      </c>
    </row>
    <row r="36" spans="1:13">
      <c r="A36" s="7">
        <v>46266</v>
      </c>
      <c r="B36" s="3" t="s">
        <v>168</v>
      </c>
      <c r="C36" s="8">
        <v>60</v>
      </c>
      <c r="D36" s="9">
        <v>3518.213908590202</v>
      </c>
      <c r="E36" s="9">
        <v>9395.230324076105</v>
      </c>
      <c r="F36" s="9">
        <v>607665.0873624935</v>
      </c>
      <c r="G36" s="9">
        <v>53011.41155847004</v>
      </c>
      <c r="H36" s="9">
        <v>1371.703627315111</v>
      </c>
      <c r="I36" s="9">
        <v>39579.90647163977</v>
      </c>
      <c r="J36" s="9">
        <v>17321.46064301297</v>
      </c>
      <c r="K36" s="9">
        <f>F36+G36-H36-I36-J36</f>
        <v>602403.4281789956</v>
      </c>
      <c r="L36" s="9">
        <v>602403.4281789956</v>
      </c>
      <c r="M36" s="3" t="b">
        <f>ABS(K36-L36)&lt;0.01</f>
        <v>1</v>
      </c>
    </row>
    <row r="37" spans="1:13">
      <c r="A37" s="7">
        <v>45474</v>
      </c>
      <c r="B37" s="3" t="s">
        <v>169</v>
      </c>
      <c r="C37" s="8">
        <v>30</v>
      </c>
      <c r="D37" s="9">
        <v>2135.513908590202</v>
      </c>
      <c r="E37" s="9">
        <v>5702.792824076106</v>
      </c>
      <c r="F37" s="9">
        <v>199827.0226274736</v>
      </c>
      <c r="G37" s="9">
        <v>28877.7700565139</v>
      </c>
      <c r="H37" s="9">
        <v>741.3630671298938</v>
      </c>
      <c r="I37" s="9">
        <v>24024.53147163977</v>
      </c>
      <c r="J37" s="9">
        <v>5177.65247928372</v>
      </c>
      <c r="K37" s="9">
        <f>F37+G37-H37-I37-J37</f>
        <v>198761.24566593414</v>
      </c>
      <c r="L37" s="9">
        <v>198761.2456659341</v>
      </c>
      <c r="M37" s="3" t="b">
        <f>ABS(K37-L37)&lt;0.01</f>
        <v>1</v>
      </c>
    </row>
    <row r="38" spans="1:13">
      <c r="A38" s="7">
        <v>45505</v>
      </c>
      <c r="B38" s="3" t="s">
        <v>169</v>
      </c>
      <c r="C38" s="8">
        <v>30</v>
      </c>
      <c r="D38" s="9">
        <v>2069.329891178812</v>
      </c>
      <c r="E38" s="9">
        <v>5526.051413943416</v>
      </c>
      <c r="F38" s="9">
        <v>232521.3169078615</v>
      </c>
      <c r="G38" s="9">
        <v>30186.59153376303</v>
      </c>
      <c r="H38" s="9">
        <v>718.3866838126442</v>
      </c>
      <c r="I38" s="9">
        <v>23279.96127576163</v>
      </c>
      <c r="J38" s="9">
        <v>8196.3530805594</v>
      </c>
      <c r="K38" s="9">
        <f>F38+G38-H38-I38-J38</f>
        <v>230513.2074014908</v>
      </c>
      <c r="L38" s="9">
        <v>230513.2074014908</v>
      </c>
      <c r="M38" s="3" t="b">
        <f>ABS(K38-L38)&lt;0.01</f>
        <v>1</v>
      </c>
    </row>
    <row r="39" spans="1:13">
      <c r="A39" s="7">
        <v>45536</v>
      </c>
      <c r="B39" s="3" t="s">
        <v>169</v>
      </c>
      <c r="C39" s="8">
        <v>30</v>
      </c>
      <c r="D39" s="9">
        <v>2107.949934707287</v>
      </c>
      <c r="E39" s="9">
        <v>5629.184484729685</v>
      </c>
      <c r="F39" s="9">
        <v>219359.2357342609</v>
      </c>
      <c r="G39" s="9">
        <v>26956.52464789301</v>
      </c>
      <c r="H39" s="9">
        <v>731.7939830148591</v>
      </c>
      <c r="I39" s="9">
        <v>23714.43676545698</v>
      </c>
      <c r="J39" s="9">
        <v>6963.957919604351</v>
      </c>
      <c r="K39" s="9">
        <f>F39+G39-H39-I39-J39</f>
        <v>214905.57171407773</v>
      </c>
      <c r="L39" s="9">
        <v>214905.5717140777</v>
      </c>
      <c r="M39" s="3" t="b">
        <f>ABS(K39-L39)&lt;0.01</f>
        <v>1</v>
      </c>
    </row>
    <row r="40" spans="1:13">
      <c r="A40" s="7">
        <v>45566</v>
      </c>
      <c r="B40" s="3" t="s">
        <v>169</v>
      </c>
      <c r="C40" s="8">
        <v>30</v>
      </c>
      <c r="D40" s="9">
        <v>2214.259956471525</v>
      </c>
      <c r="E40" s="9">
        <v>5913.080565577365</v>
      </c>
      <c r="F40" s="9">
        <v>173050.4697585792</v>
      </c>
      <c r="G40" s="9">
        <v>33511.77550802072</v>
      </c>
      <c r="H40" s="9">
        <v>768.7004735250575</v>
      </c>
      <c r="I40" s="9">
        <v>24910.42451030465</v>
      </c>
      <c r="J40" s="9">
        <v>-334.2419114382606</v>
      </c>
      <c r="K40" s="9">
        <f>F40+G40-H40-I40-J40</f>
        <v>181217.3621942085</v>
      </c>
      <c r="L40" s="9">
        <v>181217.3621942085</v>
      </c>
      <c r="M40" s="3" t="b">
        <f>ABS(K40-L40)&lt;0.01</f>
        <v>1</v>
      </c>
    </row>
    <row r="41" spans="1:13">
      <c r="A41" s="7">
        <v>45597</v>
      </c>
      <c r="B41" s="3" t="s">
        <v>169</v>
      </c>
      <c r="C41" s="8">
        <v>30</v>
      </c>
      <c r="D41" s="9">
        <v>1768.537838944641</v>
      </c>
      <c r="E41" s="9">
        <v>4722.799910818075</v>
      </c>
      <c r="F41" s="9">
        <v>153696.1611756545</v>
      </c>
      <c r="G41" s="9">
        <v>35805.08393749384</v>
      </c>
      <c r="H41" s="9">
        <v>613.9639884063497</v>
      </c>
      <c r="I41" s="9">
        <v>19896.05068812721</v>
      </c>
      <c r="J41" s="9">
        <v>-567.4209149819033</v>
      </c>
      <c r="K41" s="9">
        <f>F41+G41-H41-I41-J41</f>
        <v>169558.6513515967</v>
      </c>
      <c r="L41" s="9">
        <v>169558.6513515967</v>
      </c>
      <c r="M41" s="3" t="b">
        <f>ABS(K41-L41)&lt;0.01</f>
        <v>1</v>
      </c>
    </row>
    <row r="42" spans="1:13">
      <c r="A42" s="7">
        <v>45627</v>
      </c>
      <c r="B42" s="3" t="s">
        <v>169</v>
      </c>
      <c r="C42" s="8">
        <v>30</v>
      </c>
      <c r="D42" s="9">
        <v>1497.061812827556</v>
      </c>
      <c r="E42" s="9">
        <v>3997.835522891768</v>
      </c>
      <c r="F42" s="9">
        <v>131550.5682837097</v>
      </c>
      <c r="G42" s="9">
        <v>37388.32253335423</v>
      </c>
      <c r="H42" s="9">
        <v>519.7186179759299</v>
      </c>
      <c r="I42" s="9">
        <v>16841.94539431001</v>
      </c>
      <c r="J42" s="9">
        <v>1975.113801716581</v>
      </c>
      <c r="K42" s="9">
        <f>F42+G42-H42-I42-J42</f>
        <v>149602.1130030614</v>
      </c>
      <c r="L42" s="9">
        <v>149602.1130030614</v>
      </c>
      <c r="M42" s="3" t="b">
        <f>ABS(K42-L42)&lt;0.01</f>
        <v>1</v>
      </c>
    </row>
    <row r="43" spans="1:13">
      <c r="A43" s="7">
        <v>45658</v>
      </c>
      <c r="B43" s="3" t="s">
        <v>169</v>
      </c>
      <c r="C43" s="8">
        <v>30</v>
      </c>
      <c r="D43" s="9">
        <v>1752.917882473117</v>
      </c>
      <c r="E43" s="9">
        <v>4681.087527058889</v>
      </c>
      <c r="F43" s="9">
        <v>112624.9403975677</v>
      </c>
      <c r="G43" s="9">
        <v>34860.4055520001</v>
      </c>
      <c r="H43" s="9">
        <v>608.5413785176556</v>
      </c>
      <c r="I43" s="9">
        <v>19720.32617782256</v>
      </c>
      <c r="J43" s="9">
        <v>-6312.573445237756</v>
      </c>
      <c r="K43" s="9">
        <f>F43+G43-H43-I43-J43</f>
        <v>133469.05183846536</v>
      </c>
      <c r="L43" s="9">
        <v>133469.0518384654</v>
      </c>
      <c r="M43" s="3" t="b">
        <f>ABS(K43-L43)&lt;0.01</f>
        <v>1</v>
      </c>
    </row>
    <row r="44" spans="1:13">
      <c r="A44" s="7">
        <v>45689</v>
      </c>
      <c r="B44" s="3" t="s">
        <v>169</v>
      </c>
      <c r="C44" s="8">
        <v>30</v>
      </c>
      <c r="D44" s="9">
        <v>1828.681943412982</v>
      </c>
      <c r="E44" s="9">
        <v>4883.412007977849</v>
      </c>
      <c r="F44" s="9">
        <v>100324.6989405502</v>
      </c>
      <c r="G44" s="9">
        <v>23903.29567210755</v>
      </c>
      <c r="H44" s="9">
        <v>634.8435610371203</v>
      </c>
      <c r="I44" s="9">
        <v>20572.67186339605</v>
      </c>
      <c r="J44" s="9">
        <v>-12370.70402983428</v>
      </c>
      <c r="K44" s="9">
        <f>F44+G44-H44-I44-J44</f>
        <v>115391.18321805881</v>
      </c>
      <c r="L44" s="9">
        <v>115391.1832180588</v>
      </c>
      <c r="M44" s="3" t="b">
        <f>ABS(K44-L44)&lt;0.01</f>
        <v>1</v>
      </c>
    </row>
    <row r="45" spans="1:13">
      <c r="A45" s="7">
        <v>45717</v>
      </c>
      <c r="B45" s="3" t="s">
        <v>169</v>
      </c>
      <c r="C45" s="8">
        <v>30</v>
      </c>
      <c r="D45" s="9">
        <v>2166.667904237354</v>
      </c>
      <c r="E45" s="9">
        <v>5785.988153361115</v>
      </c>
      <c r="F45" s="9">
        <v>215959.7779322413</v>
      </c>
      <c r="G45" s="9">
        <v>30290.709165408</v>
      </c>
      <c r="H45" s="9">
        <v>752.1784599369449</v>
      </c>
      <c r="I45" s="9">
        <v>24375.01392267023</v>
      </c>
      <c r="J45" s="9">
        <v>16352.93540181609</v>
      </c>
      <c r="K45" s="9">
        <f>F45+G45-H45-I45-J45</f>
        <v>204770.35931322604</v>
      </c>
      <c r="L45" s="9">
        <v>204770.359313226</v>
      </c>
      <c r="M45" s="3" t="b">
        <f>ABS(K45-L45)&lt;0.01</f>
        <v>1</v>
      </c>
    </row>
    <row r="46" spans="1:13">
      <c r="A46" s="7">
        <v>45748</v>
      </c>
      <c r="B46" s="3" t="s">
        <v>169</v>
      </c>
      <c r="C46" s="8">
        <v>30</v>
      </c>
      <c r="D46" s="9">
        <v>2039.273908590202</v>
      </c>
      <c r="E46" s="9">
        <v>5445.78827862156</v>
      </c>
      <c r="F46" s="9">
        <v>235226.4732897748</v>
      </c>
      <c r="G46" s="9">
        <v>31136.80027627219</v>
      </c>
      <c r="H46" s="9">
        <v>707.9524762208029</v>
      </c>
      <c r="I46" s="9">
        <v>22941.83147163977</v>
      </c>
      <c r="J46" s="9">
        <v>15907.80386742403</v>
      </c>
      <c r="K46" s="9">
        <f>F46+G46-H46-I46-J46</f>
        <v>226805.68575076238</v>
      </c>
      <c r="L46" s="9">
        <v>226805.6857507624</v>
      </c>
      <c r="M46" s="3" t="b">
        <f>ABS(K46-L46)&lt;0.01</f>
        <v>1</v>
      </c>
    </row>
    <row r="47" spans="1:13">
      <c r="A47" s="7">
        <v>45778</v>
      </c>
      <c r="B47" s="3" t="s">
        <v>169</v>
      </c>
      <c r="C47" s="8">
        <v>30</v>
      </c>
      <c r="D47" s="9">
        <v>2081.605917295897</v>
      </c>
      <c r="E47" s="9">
        <v>5558.833983687905</v>
      </c>
      <c r="F47" s="9">
        <v>246072.131854682</v>
      </c>
      <c r="G47" s="9">
        <v>28744.23106205855</v>
      </c>
      <c r="H47" s="9">
        <v>722.6484178794277</v>
      </c>
      <c r="I47" s="9">
        <v>23418.06656957884</v>
      </c>
      <c r="J47" s="9">
        <v>2556.410286842509</v>
      </c>
      <c r="K47" s="9">
        <f>F47+G47-H47-I47-J47</f>
        <v>248119.23764243978</v>
      </c>
      <c r="L47" s="9">
        <v>248119.2376424398</v>
      </c>
      <c r="M47" s="3" t="b">
        <f>ABS(K47-L47)&lt;0.01</f>
        <v>1</v>
      </c>
    </row>
    <row r="48" spans="1:13">
      <c r="A48" s="7">
        <v>45809</v>
      </c>
      <c r="B48" s="3" t="s">
        <v>169</v>
      </c>
      <c r="C48" s="8">
        <v>30</v>
      </c>
      <c r="D48" s="9">
        <v>1962.161856356031</v>
      </c>
      <c r="E48" s="9">
        <v>5239.864048223491</v>
      </c>
      <c r="F48" s="9">
        <v>234617.3738803882</v>
      </c>
      <c r="G48" s="9">
        <v>23978.80231930779</v>
      </c>
      <c r="H48" s="9">
        <v>681.182326269054</v>
      </c>
      <c r="I48" s="9">
        <v>22074.32088400536</v>
      </c>
      <c r="J48" s="9">
        <v>2298.814568125742</v>
      </c>
      <c r="K48" s="9">
        <f>F48+G48-H48-I48-J48</f>
        <v>233541.85842129585</v>
      </c>
      <c r="L48" s="9">
        <v>233541.8584212959</v>
      </c>
      <c r="M48" s="3" t="b">
        <f>ABS(K48-L48)&lt;0.01</f>
        <v>1</v>
      </c>
    </row>
    <row r="49" spans="1:13">
      <c r="A49" s="7">
        <v>45839</v>
      </c>
      <c r="B49" s="3" t="s">
        <v>169</v>
      </c>
      <c r="C49" s="8">
        <v>30</v>
      </c>
      <c r="D49" s="9">
        <v>1860.855808474708</v>
      </c>
      <c r="E49" s="9">
        <v>4969.330852176777</v>
      </c>
      <c r="F49" s="9">
        <v>151797.5148152563</v>
      </c>
      <c r="G49" s="9">
        <v>28425.31871856023</v>
      </c>
      <c r="H49" s="9">
        <v>646.013010782981</v>
      </c>
      <c r="I49" s="9">
        <v>20934.62784534047</v>
      </c>
      <c r="J49" s="9">
        <v>-1181.449936116931</v>
      </c>
      <c r="K49" s="9">
        <f>F49+G49-H49-I49-J49</f>
        <v>159823.64261381002</v>
      </c>
      <c r="L49" s="9">
        <v>159823.64261381</v>
      </c>
      <c r="M49" s="3" t="b">
        <f>ABS(K49-L49)&lt;0.01</f>
        <v>1</v>
      </c>
    </row>
    <row r="50" spans="1:13">
      <c r="A50" s="7">
        <v>45870</v>
      </c>
      <c r="B50" s="3" t="s">
        <v>169</v>
      </c>
      <c r="C50" s="8">
        <v>30</v>
      </c>
      <c r="D50" s="9">
        <v>1977.955852003184</v>
      </c>
      <c r="E50" s="9">
        <v>5282.041195690319</v>
      </c>
      <c r="F50" s="9">
        <v>208481.4910965023</v>
      </c>
      <c r="G50" s="9">
        <v>27412.58639346933</v>
      </c>
      <c r="H50" s="9">
        <v>686.6653554397416</v>
      </c>
      <c r="I50" s="9">
        <v>22252.00333503582</v>
      </c>
      <c r="J50" s="9">
        <v>15404.09716042797</v>
      </c>
      <c r="K50" s="9">
        <f>F50+G50-H50-I50-J50</f>
        <v>197551.31163906807</v>
      </c>
      <c r="L50" s="9">
        <v>197551.3116390681</v>
      </c>
      <c r="M50" s="3" t="b">
        <f>ABS(K50-L50)&lt;0.01</f>
        <v>1</v>
      </c>
    </row>
    <row r="51" spans="1:13">
      <c r="A51" s="7">
        <v>45901</v>
      </c>
      <c r="B51" s="3" t="s">
        <v>169</v>
      </c>
      <c r="C51" s="8">
        <v>30</v>
      </c>
      <c r="D51" s="9">
        <v>2133.435939060134</v>
      </c>
      <c r="E51" s="9">
        <v>5697.243700899221</v>
      </c>
      <c r="F51" s="9">
        <v>266754.8461617067</v>
      </c>
      <c r="G51" s="9">
        <v>31992.50870212381</v>
      </c>
      <c r="H51" s="9">
        <v>740.6416811168988</v>
      </c>
      <c r="I51" s="9">
        <v>24001.15431442651</v>
      </c>
      <c r="J51" s="9">
        <v>5527.888662740492</v>
      </c>
      <c r="K51" s="9">
        <f>F51+G51-H51-I51-J51</f>
        <v>268477.6702055466</v>
      </c>
      <c r="L51" s="9">
        <v>268477.6702055466</v>
      </c>
      <c r="M51" s="3" t="b">
        <f>ABS(K51-L51)&lt;0.01</f>
        <v>1</v>
      </c>
    </row>
    <row r="52" spans="1:13">
      <c r="A52" s="7">
        <v>45931</v>
      </c>
      <c r="B52" s="3" t="s">
        <v>169</v>
      </c>
      <c r="C52" s="8">
        <v>30</v>
      </c>
      <c r="D52" s="9">
        <v>2205.027991294305</v>
      </c>
      <c r="E52" s="9">
        <v>5888.427022206381</v>
      </c>
      <c r="F52" s="9">
        <v>193126.7174638805</v>
      </c>
      <c r="G52" s="9">
        <v>26094.79341256371</v>
      </c>
      <c r="H52" s="9">
        <v>765.4955128868296</v>
      </c>
      <c r="I52" s="9">
        <v>24806.56490206093</v>
      </c>
      <c r="J52" s="9">
        <v>2379.746946105733</v>
      </c>
      <c r="K52" s="9">
        <f>F52+G52-H52-I52-J52</f>
        <v>191269.70351539075</v>
      </c>
      <c r="L52" s="9">
        <v>191269.7035153907</v>
      </c>
      <c r="M52" s="3" t="b">
        <f>ABS(K52-L52)&lt;0.01</f>
        <v>1</v>
      </c>
    </row>
    <row r="53" spans="1:13">
      <c r="A53" s="7">
        <v>45962</v>
      </c>
      <c r="B53" s="3" t="s">
        <v>169</v>
      </c>
      <c r="C53" s="8">
        <v>30</v>
      </c>
      <c r="D53" s="9">
        <v>1978.921943412982</v>
      </c>
      <c r="E53" s="9">
        <v>5284.621098886939</v>
      </c>
      <c r="F53" s="9">
        <v>112832.0646360095</v>
      </c>
      <c r="G53" s="9">
        <v>23810.85340988512</v>
      </c>
      <c r="H53" s="9">
        <v>687.0007428553021</v>
      </c>
      <c r="I53" s="9">
        <v>22262.87186339605</v>
      </c>
      <c r="J53" s="9">
        <v>-2350.796638764753</v>
      </c>
      <c r="K53" s="9">
        <f>F53+G53-H53-I53-J53</f>
        <v>116043.84207840801</v>
      </c>
      <c r="L53" s="9">
        <v>116043.842078408</v>
      </c>
      <c r="M53" s="3" t="b">
        <f>ABS(K53-L53)&lt;0.01</f>
        <v>1</v>
      </c>
    </row>
    <row r="54" spans="1:13">
      <c r="A54" s="7">
        <v>45992</v>
      </c>
      <c r="B54" s="3" t="s">
        <v>169</v>
      </c>
      <c r="C54" s="8">
        <v>30</v>
      </c>
      <c r="D54" s="9">
        <v>1616.627817180403</v>
      </c>
      <c r="E54" s="9">
        <v>4317.131102697667</v>
      </c>
      <c r="F54" s="9">
        <v>61967.86146188127</v>
      </c>
      <c r="G54" s="9">
        <v>23823.27946867282</v>
      </c>
      <c r="H54" s="9">
        <v>561.2270433506968</v>
      </c>
      <c r="I54" s="9">
        <v>18187.06294327954</v>
      </c>
      <c r="J54" s="9">
        <v>3680.493398811899</v>
      </c>
      <c r="K54" s="9">
        <f>F54+G54-H54-I54-J54</f>
        <v>63362.357545111954</v>
      </c>
      <c r="L54" s="9">
        <v>63362.35754511195</v>
      </c>
      <c r="M54" s="3" t="b">
        <f>ABS(K54-L54)&lt;0.01</f>
        <v>1</v>
      </c>
    </row>
    <row r="55" spans="1:13">
      <c r="A55" s="7">
        <v>46023</v>
      </c>
      <c r="B55" s="3" t="s">
        <v>169</v>
      </c>
      <c r="C55" s="8">
        <v>30</v>
      </c>
      <c r="D55" s="9">
        <v>1640.535808474708</v>
      </c>
      <c r="E55" s="9">
        <v>4380.976306722232</v>
      </c>
      <c r="F55" s="9">
        <v>85591.7442146875</v>
      </c>
      <c r="G55" s="9">
        <v>23179.79434797115</v>
      </c>
      <c r="H55" s="9">
        <v>569.5269198738902</v>
      </c>
      <c r="I55" s="9">
        <v>18456.02784534047</v>
      </c>
      <c r="J55" s="9">
        <v>14540.71323166041</v>
      </c>
      <c r="K55" s="9">
        <f>F55+G55-H55-I55-J55</f>
        <v>75205.27056578388</v>
      </c>
      <c r="L55" s="9">
        <v>75205.27056578388</v>
      </c>
      <c r="M55" s="3" t="b">
        <f>ABS(K55-L55)&lt;0.01</f>
        <v>1</v>
      </c>
    </row>
    <row r="56" spans="1:13">
      <c r="A56" s="7">
        <v>46054</v>
      </c>
      <c r="B56" s="3" t="s">
        <v>169</v>
      </c>
      <c r="C56" s="8">
        <v>30</v>
      </c>
      <c r="D56" s="9">
        <v>1724.725917295897</v>
      </c>
      <c r="E56" s="9">
        <v>4605.802165506087</v>
      </c>
      <c r="F56" s="9">
        <v>71341.13383895738</v>
      </c>
      <c r="G56" s="9">
        <v>20302.35525914492</v>
      </c>
      <c r="H56" s="9">
        <v>598.7542815157913</v>
      </c>
      <c r="I56" s="9">
        <v>19403.16656957884</v>
      </c>
      <c r="J56" s="9">
        <v>-1618.636808037053</v>
      </c>
      <c r="K56" s="9">
        <f>F56+G56-H56-I56-J56</f>
        <v>73260.20505504473</v>
      </c>
      <c r="L56" s="9">
        <v>73260.20505504473</v>
      </c>
      <c r="M56" s="3" t="b">
        <f>ABS(K56-L56)&lt;0.01</f>
        <v>1</v>
      </c>
    </row>
    <row r="57" spans="1:13">
      <c r="A57" s="7">
        <v>46082</v>
      </c>
      <c r="B57" s="3" t="s">
        <v>169</v>
      </c>
      <c r="C57" s="8">
        <v>30</v>
      </c>
      <c r="D57" s="9">
        <v>2171.641943412982</v>
      </c>
      <c r="E57" s="9">
        <v>5799.271098886939</v>
      </c>
      <c r="F57" s="9">
        <v>276145.1091460013</v>
      </c>
      <c r="G57" s="9">
        <v>21813.24923097802</v>
      </c>
      <c r="H57" s="9">
        <v>753.9052428553022</v>
      </c>
      <c r="I57" s="9">
        <v>24430.97186339605</v>
      </c>
      <c r="J57" s="9">
        <v>3851.237658411527</v>
      </c>
      <c r="K57" s="9">
        <f>F57+G57-H57-I57-J57</f>
        <v>268922.24361231644</v>
      </c>
      <c r="L57" s="9">
        <v>268922.2436123164</v>
      </c>
      <c r="M57" s="3" t="b">
        <f>ABS(K57-L57)&lt;0.01</f>
        <v>1</v>
      </c>
    </row>
    <row r="58" spans="1:13">
      <c r="A58" s="7">
        <v>46113</v>
      </c>
      <c r="B58" s="3" t="s">
        <v>169</v>
      </c>
      <c r="C58" s="8">
        <v>30</v>
      </c>
      <c r="D58" s="9">
        <v>2094.647947765829</v>
      </c>
      <c r="E58" s="9">
        <v>5593.662133238293</v>
      </c>
      <c r="F58" s="9">
        <v>289316.4111126382</v>
      </c>
      <c r="G58" s="9">
        <v>19647.64623734018</v>
      </c>
      <c r="H58" s="9">
        <v>816.6746714527908</v>
      </c>
      <c r="I58" s="9">
        <v>23564.78941236558</v>
      </c>
      <c r="J58" s="9">
        <v>10744.01523484679</v>
      </c>
      <c r="K58" s="9">
        <f>F58+G58-H58-I58-J58</f>
        <v>273838.5780313132</v>
      </c>
      <c r="L58" s="9">
        <v>273838.5780313132</v>
      </c>
      <c r="M58" s="3" t="b">
        <f>ABS(K58-L58)&lt;0.01</f>
        <v>1</v>
      </c>
    </row>
    <row r="59" spans="1:13">
      <c r="A59" s="7">
        <v>46143</v>
      </c>
      <c r="B59" s="3" t="s">
        <v>169</v>
      </c>
      <c r="C59" s="8">
        <v>30</v>
      </c>
      <c r="D59" s="9">
        <v>2057.743930354439</v>
      </c>
      <c r="E59" s="9">
        <v>5495.111632196513</v>
      </c>
      <c r="F59" s="9">
        <v>288518.464817067</v>
      </c>
      <c r="G59" s="9">
        <v>14829.77557400143</v>
      </c>
      <c r="H59" s="9">
        <v>802.2862983006909</v>
      </c>
      <c r="I59" s="9">
        <v>23149.61921648744</v>
      </c>
      <c r="J59" s="9">
        <v>2537.853217242986</v>
      </c>
      <c r="K59" s="9">
        <f>F59+G59-H59-I59-J59</f>
        <v>276858.48165903735</v>
      </c>
      <c r="L59" s="9">
        <v>276858.4816590374</v>
      </c>
      <c r="M59" s="3" t="b">
        <f>ABS(K59-L59)&lt;0.01</f>
        <v>1</v>
      </c>
    </row>
    <row r="60" spans="1:13">
      <c r="A60" s="7">
        <v>46174</v>
      </c>
      <c r="B60" s="3" t="s">
        <v>169</v>
      </c>
      <c r="C60" s="8">
        <v>30</v>
      </c>
      <c r="D60" s="9">
        <v>1974.483886825964</v>
      </c>
      <c r="E60" s="9">
        <v>5272.769470501153</v>
      </c>
      <c r="F60" s="9">
        <v>300363.882984405</v>
      </c>
      <c r="G60" s="9">
        <v>16773.10795029133</v>
      </c>
      <c r="H60" s="9">
        <v>769.8243426931683</v>
      </c>
      <c r="I60" s="9">
        <v>22212.94372679209</v>
      </c>
      <c r="J60" s="9">
        <v>5781.988513585326</v>
      </c>
      <c r="K60" s="9">
        <f>F60+G60-H60-I60-J60</f>
        <v>288372.23435162567</v>
      </c>
      <c r="L60" s="9">
        <v>288372.2343516257</v>
      </c>
      <c r="M60" s="3" t="b">
        <f>ABS(K60-L60)&lt;0.01</f>
        <v>1</v>
      </c>
    </row>
    <row r="61" spans="1:13">
      <c r="A61" s="7">
        <v>46204</v>
      </c>
      <c r="B61" s="3" t="s">
        <v>169</v>
      </c>
      <c r="C61" s="8">
        <v>30</v>
      </c>
      <c r="D61" s="9">
        <v>1830.171834591794</v>
      </c>
      <c r="E61" s="9">
        <v>4887.390694648539</v>
      </c>
      <c r="F61" s="9">
        <v>248485.7699664479</v>
      </c>
      <c r="G61" s="9">
        <v>19631.99088611158</v>
      </c>
      <c r="H61" s="9">
        <v>713.5590414186867</v>
      </c>
      <c r="I61" s="9">
        <v>20589.43313915768</v>
      </c>
      <c r="J61" s="9">
        <v>-1278.041231767771</v>
      </c>
      <c r="K61" s="9">
        <f>F61+G61-H61-I61-J61</f>
        <v>248092.80990375095</v>
      </c>
      <c r="L61" s="9">
        <v>248092.809903751</v>
      </c>
      <c r="M61" s="3" t="b">
        <f>ABS(K61-L61)&lt;0.01</f>
        <v>1</v>
      </c>
    </row>
    <row r="62" spans="1:13">
      <c r="A62" s="7">
        <v>46235</v>
      </c>
      <c r="B62" s="3" t="s">
        <v>169</v>
      </c>
      <c r="C62" s="8">
        <v>30</v>
      </c>
      <c r="D62" s="9">
        <v>1941.501899884507</v>
      </c>
      <c r="E62" s="9">
        <v>5184.692573555215</v>
      </c>
      <c r="F62" s="9">
        <v>268288.977787114</v>
      </c>
      <c r="G62" s="9">
        <v>20765.15300570434</v>
      </c>
      <c r="H62" s="9">
        <v>756.9651157390614</v>
      </c>
      <c r="I62" s="9">
        <v>21841.8963737007</v>
      </c>
      <c r="J62" s="9">
        <v>-783.1652276254836</v>
      </c>
      <c r="K62" s="9">
        <f>F62+G62-H62-I62-J62</f>
        <v>267238.43453100405</v>
      </c>
      <c r="L62" s="9">
        <v>267238.4345310041</v>
      </c>
      <c r="M62" s="3" t="b">
        <f>ABS(K62-L62)&lt;0.01</f>
        <v>1</v>
      </c>
    </row>
    <row r="63" spans="1:13">
      <c r="A63" s="7">
        <v>46266</v>
      </c>
      <c r="B63" s="3" t="s">
        <v>169</v>
      </c>
      <c r="C63" s="8">
        <v>30</v>
      </c>
      <c r="D63" s="9">
        <v>2009.92794776583</v>
      </c>
      <c r="E63" s="9">
        <v>5367.421224147384</v>
      </c>
      <c r="F63" s="9">
        <v>347173.4201094768</v>
      </c>
      <c r="G63" s="9">
        <v>17670.47051949002</v>
      </c>
      <c r="H63" s="9">
        <v>783.643498725518</v>
      </c>
      <c r="I63" s="9">
        <v>22611.68941236558</v>
      </c>
      <c r="J63" s="9">
        <v>947.994135908031</v>
      </c>
      <c r="K63" s="9">
        <f>F63+G63-H63-I63-J63</f>
        <v>340500.56358196767</v>
      </c>
      <c r="L63" s="9">
        <v>340500.5635819677</v>
      </c>
      <c r="M63" s="3" t="b">
        <f>ABS(K63-L63)&lt;0.01</f>
        <v>1</v>
      </c>
    </row>
    <row r="64" spans="1:13">
      <c r="A64" s="7">
        <v>45809</v>
      </c>
      <c r="B64" s="3" t="s">
        <v>170</v>
      </c>
      <c r="C64" s="8">
        <v>10</v>
      </c>
      <c r="D64" s="9">
        <v>417.6166303929372</v>
      </c>
      <c r="E64" s="9">
        <v>1115.22622889023</v>
      </c>
      <c r="F64" s="9">
        <v>50970.86829610859</v>
      </c>
      <c r="G64" s="9">
        <v>0</v>
      </c>
      <c r="H64" s="9">
        <v>144.9794097557299</v>
      </c>
      <c r="I64" s="9">
        <v>4698.187091920543</v>
      </c>
      <c r="J64" s="9">
        <v>1143.885219275402</v>
      </c>
      <c r="K64" s="9">
        <f>F64+G64-H64-I64-J64</f>
        <v>44983.81657515692</v>
      </c>
      <c r="L64" s="9">
        <v>44983.81657515692</v>
      </c>
      <c r="M64" s="3" t="b">
        <f>ABS(K64-L64)&lt;0.01</f>
        <v>1</v>
      </c>
    </row>
    <row r="65" spans="1:13">
      <c r="A65" s="7">
        <v>45839</v>
      </c>
      <c r="B65" s="3" t="s">
        <v>170</v>
      </c>
      <c r="C65" s="8">
        <v>10</v>
      </c>
      <c r="D65" s="9">
        <v>404.497461912584</v>
      </c>
      <c r="E65" s="9">
        <v>1080.192085789287</v>
      </c>
      <c r="F65" s="9">
        <v>33659.9348258806</v>
      </c>
      <c r="G65" s="9">
        <v>0</v>
      </c>
      <c r="H65" s="9">
        <v>140.4249711526073</v>
      </c>
      <c r="I65" s="9">
        <v>4550.596446516571</v>
      </c>
      <c r="J65" s="9">
        <v>2796.481904857975</v>
      </c>
      <c r="K65" s="9">
        <f>F65+G65-H65-I65-J65</f>
        <v>26172.431503353448</v>
      </c>
      <c r="L65" s="9">
        <v>26172.43150335345</v>
      </c>
      <c r="M65" s="3" t="b">
        <f>ABS(K65-L65)&lt;0.01</f>
        <v>1</v>
      </c>
    </row>
    <row r="66" spans="1:13">
      <c r="A66" s="7">
        <v>45870</v>
      </c>
      <c r="B66" s="3" t="s">
        <v>170</v>
      </c>
      <c r="C66" s="8">
        <v>10</v>
      </c>
      <c r="D66" s="9">
        <v>418.5453831134669</v>
      </c>
      <c r="E66" s="9">
        <v>1117.706420814372</v>
      </c>
      <c r="F66" s="9">
        <v>45880.68311786777</v>
      </c>
      <c r="G66" s="9">
        <v>0</v>
      </c>
      <c r="H66" s="9">
        <v>145.3018347058683</v>
      </c>
      <c r="I66" s="9">
        <v>4708.635560026502</v>
      </c>
      <c r="J66" s="9">
        <v>1203.454089656899</v>
      </c>
      <c r="K66" s="9">
        <f>F66+G66-H66-I66-J66</f>
        <v>39823.2916334785</v>
      </c>
      <c r="L66" s="9">
        <v>39823.2916334785</v>
      </c>
      <c r="M66" s="3" t="b">
        <f>ABS(K66-L66)&lt;0.01</f>
        <v>1</v>
      </c>
    </row>
    <row r="67" spans="1:13">
      <c r="A67" s="7">
        <v>45901</v>
      </c>
      <c r="B67" s="3" t="s">
        <v>170</v>
      </c>
      <c r="C67" s="8">
        <v>10</v>
      </c>
      <c r="D67" s="9">
        <v>446.2849891178811</v>
      </c>
      <c r="E67" s="9">
        <v>1191.783777757978</v>
      </c>
      <c r="F67" s="9">
        <v>61616.00659584289</v>
      </c>
      <c r="G67" s="9">
        <v>0</v>
      </c>
      <c r="H67" s="9">
        <v>154.9318911085372</v>
      </c>
      <c r="I67" s="9">
        <v>5020.706127576163</v>
      </c>
      <c r="J67" s="9">
        <v>-83.60077263394228</v>
      </c>
      <c r="K67" s="9">
        <f>F67+G67-H67-I67-J67</f>
        <v>56523.96934979214</v>
      </c>
      <c r="L67" s="9">
        <v>56523.96934979214</v>
      </c>
      <c r="M67" s="3" t="b">
        <f>ABS(K67-L67)&lt;0.01</f>
        <v>1</v>
      </c>
    </row>
    <row r="68" spans="1:13">
      <c r="A68" s="7">
        <v>45931</v>
      </c>
      <c r="B68" s="3" t="s">
        <v>170</v>
      </c>
      <c r="C68" s="8">
        <v>10</v>
      </c>
      <c r="D68" s="9">
        <v>459.3808315196468</v>
      </c>
      <c r="E68" s="9">
        <v>1226.75562962633</v>
      </c>
      <c r="F68" s="9">
        <v>45983.91012757359</v>
      </c>
      <c r="G68" s="9">
        <v>0</v>
      </c>
      <c r="H68" s="9">
        <v>159.4782318514229</v>
      </c>
      <c r="I68" s="9">
        <v>5168.034354596027</v>
      </c>
      <c r="J68" s="9">
        <v>6901.512034419026</v>
      </c>
      <c r="K68" s="9">
        <f>F68+G68-H68-I68-J68</f>
        <v>33754.885506707105</v>
      </c>
      <c r="L68" s="9">
        <v>33754.88550670711</v>
      </c>
      <c r="M68" s="3" t="b">
        <f>ABS(K68-L68)&lt;0.01</f>
        <v>1</v>
      </c>
    </row>
    <row r="69" spans="1:13">
      <c r="A69" s="7">
        <v>45962</v>
      </c>
      <c r="B69" s="3" t="s">
        <v>170</v>
      </c>
      <c r="C69" s="8">
        <v>10</v>
      </c>
      <c r="D69" s="9">
        <v>424.4041575982343</v>
      </c>
      <c r="E69" s="9">
        <v>1133.352011768012</v>
      </c>
      <c r="F69" s="9">
        <v>26589.76318705322</v>
      </c>
      <c r="G69" s="9">
        <v>0</v>
      </c>
      <c r="H69" s="9">
        <v>147.3357615298416</v>
      </c>
      <c r="I69" s="9">
        <v>4774.546772980136</v>
      </c>
      <c r="J69" s="9">
        <v>475.6045770390188</v>
      </c>
      <c r="K69" s="9">
        <f>F69+G69-H69-I69-J69</f>
        <v>21192.27607550422</v>
      </c>
      <c r="L69" s="9">
        <v>21192.27607550422</v>
      </c>
      <c r="M69" s="3" t="b">
        <f>ABS(K69-L69)&lt;0.01</f>
        <v>1</v>
      </c>
    </row>
    <row r="70" spans="1:13">
      <c r="A70" s="7">
        <v>45992</v>
      </c>
      <c r="B70" s="3" t="s">
        <v>170</v>
      </c>
      <c r="C70" s="8">
        <v>10</v>
      </c>
      <c r="D70" s="9">
        <v>370.797461912584</v>
      </c>
      <c r="E70" s="9">
        <v>990.1977676074688</v>
      </c>
      <c r="F70" s="9">
        <v>14812.06638564967</v>
      </c>
      <c r="G70" s="9">
        <v>0</v>
      </c>
      <c r="H70" s="9">
        <v>128.7257097889709</v>
      </c>
      <c r="I70" s="9">
        <v>4171.47144651657</v>
      </c>
      <c r="J70" s="9">
        <v>35.68281004938788</v>
      </c>
      <c r="K70" s="9">
        <f>F70+G70-H70-I70-J70</f>
        <v>10476.18641929474</v>
      </c>
      <c r="L70" s="9">
        <v>10476.18641929474</v>
      </c>
      <c r="M70" s="3" t="b">
        <f>ABS(K70-L70)&lt;0.01</f>
        <v>1</v>
      </c>
    </row>
    <row r="71" spans="1:13">
      <c r="A71" s="7">
        <v>46023</v>
      </c>
      <c r="B71" s="3" t="s">
        <v>170</v>
      </c>
      <c r="C71" s="8">
        <v>10</v>
      </c>
      <c r="D71" s="9">
        <v>367.3262146331138</v>
      </c>
      <c r="E71" s="9">
        <v>980.9279595316107</v>
      </c>
      <c r="F71" s="9">
        <v>20177.13612153475</v>
      </c>
      <c r="G71" s="9">
        <v>0</v>
      </c>
      <c r="H71" s="9">
        <v>127.5206347391094</v>
      </c>
      <c r="I71" s="9">
        <v>4132.419914622529</v>
      </c>
      <c r="J71" s="9">
        <v>2122.368858405906</v>
      </c>
      <c r="K71" s="9">
        <f>F71+G71-H71-I71-J71</f>
        <v>13794.826713767205</v>
      </c>
      <c r="L71" s="9">
        <v>13794.8267137672</v>
      </c>
      <c r="M71" s="3" t="b">
        <f>ABS(K71-L71)&lt;0.01</f>
        <v>1</v>
      </c>
    </row>
    <row r="72" spans="1:13">
      <c r="A72" s="7">
        <v>46054</v>
      </c>
      <c r="B72" s="3" t="s">
        <v>170</v>
      </c>
      <c r="C72" s="8">
        <v>10</v>
      </c>
      <c r="D72" s="9">
        <v>379.9178994366451</v>
      </c>
      <c r="E72" s="9">
        <v>1014.553481450132</v>
      </c>
      <c r="F72" s="9">
        <v>17062.3518819984</v>
      </c>
      <c r="G72" s="9">
        <v>0</v>
      </c>
      <c r="H72" s="9">
        <v>131.8919525885172</v>
      </c>
      <c r="I72" s="9">
        <v>4274.076368662258</v>
      </c>
      <c r="J72" s="9">
        <v>-911.7586944300815</v>
      </c>
      <c r="K72" s="9">
        <f>F72+G72-H72-I72-J72</f>
        <v>13568.142255177705</v>
      </c>
      <c r="L72" s="9">
        <v>13568.14225517771</v>
      </c>
      <c r="M72" s="3" t="b">
        <f>ABS(K72-L72)&lt;0.01</f>
        <v>1</v>
      </c>
    </row>
    <row r="73" spans="1:13">
      <c r="A73" s="7">
        <v>46082</v>
      </c>
      <c r="B73" s="3" t="s">
        <v>170</v>
      </c>
      <c r="C73" s="8">
        <v>10</v>
      </c>
      <c r="D73" s="9">
        <v>460.0849891178812</v>
      </c>
      <c r="E73" s="9">
        <v>1228.636050485251</v>
      </c>
      <c r="F73" s="9">
        <v>63304.4101414637</v>
      </c>
      <c r="G73" s="9">
        <v>0</v>
      </c>
      <c r="H73" s="9">
        <v>159.7226865630826</v>
      </c>
      <c r="I73" s="9">
        <v>5175.956127576163</v>
      </c>
      <c r="J73" s="9">
        <v>869.9344944917058</v>
      </c>
      <c r="K73" s="9">
        <f>F73+G73-H73-I73-J73</f>
        <v>57098.79683283276</v>
      </c>
      <c r="L73" s="9">
        <v>57098.79683283276</v>
      </c>
      <c r="M73" s="3" t="b">
        <f>ABS(K73-L73)&lt;0.01</f>
        <v>1</v>
      </c>
    </row>
    <row r="74" spans="1:13">
      <c r="A74" s="7">
        <v>46113</v>
      </c>
      <c r="B74" s="3" t="s">
        <v>170</v>
      </c>
      <c r="C74" s="8">
        <v>10</v>
      </c>
      <c r="D74" s="9">
        <v>449.0904157598234</v>
      </c>
      <c r="E74" s="9">
        <v>1199.275542085892</v>
      </c>
      <c r="F74" s="9">
        <v>65562.70853695317</v>
      </c>
      <c r="G74" s="9">
        <v>0</v>
      </c>
      <c r="H74" s="9">
        <v>175.0942291445403</v>
      </c>
      <c r="I74" s="9">
        <v>5052.267177298014</v>
      </c>
      <c r="J74" s="9">
        <v>5486.004036291175</v>
      </c>
      <c r="K74" s="9">
        <f>F74+G74-H74-I74-J74</f>
        <v>54849.343094219446</v>
      </c>
      <c r="L74" s="9">
        <v>54849.34309421945</v>
      </c>
      <c r="M74" s="3" t="b">
        <f>ABS(K74-L74)&lt;0.01</f>
        <v>1</v>
      </c>
    </row>
    <row r="75" spans="1:13">
      <c r="A75" s="7">
        <v>46143</v>
      </c>
      <c r="B75" s="3" t="s">
        <v>170</v>
      </c>
      <c r="C75" s="8">
        <v>10</v>
      </c>
      <c r="D75" s="9">
        <v>448.265820637528</v>
      </c>
      <c r="E75" s="9">
        <v>1197.073498293399</v>
      </c>
      <c r="F75" s="9">
        <v>65203.71347070127</v>
      </c>
      <c r="G75" s="9">
        <v>0</v>
      </c>
      <c r="H75" s="9">
        <v>174.7727307508362</v>
      </c>
      <c r="I75" s="9">
        <v>5042.99048217219</v>
      </c>
      <c r="J75" s="9">
        <v>2320.787444585199</v>
      </c>
      <c r="K75" s="9">
        <f>F75+G75-H75-I75-J75</f>
        <v>57665.16281319304</v>
      </c>
      <c r="L75" s="9">
        <v>57665.16281319304</v>
      </c>
      <c r="M75" s="3" t="b">
        <f>ABS(K75-L75)&lt;0.01</f>
        <v>1</v>
      </c>
    </row>
    <row r="76" spans="1:13">
      <c r="A76" s="7">
        <v>46174</v>
      </c>
      <c r="B76" s="3" t="s">
        <v>170</v>
      </c>
      <c r="C76" s="8">
        <v>10</v>
      </c>
      <c r="D76" s="9">
        <v>434.798730956292</v>
      </c>
      <c r="E76" s="9">
        <v>1161.110247440098</v>
      </c>
      <c r="F76" s="9">
        <v>69039.90390267625</v>
      </c>
      <c r="G76" s="9">
        <v>0</v>
      </c>
      <c r="H76" s="9">
        <v>169.5220961262543</v>
      </c>
      <c r="I76" s="9">
        <v>4891.485723258285</v>
      </c>
      <c r="J76" s="9">
        <v>2815.710771937166</v>
      </c>
      <c r="K76" s="9">
        <f>F76+G76-H76-I76-J76</f>
        <v>61163.185311354544</v>
      </c>
      <c r="L76" s="9">
        <v>61163.18531135454</v>
      </c>
      <c r="M76" s="3" t="b">
        <f>ABS(K76-L76)&lt;0.01</f>
        <v>1</v>
      </c>
    </row>
    <row r="77" spans="1:13">
      <c r="A77" s="7">
        <v>46204</v>
      </c>
      <c r="B77" s="3" t="s">
        <v>170</v>
      </c>
      <c r="C77" s="8">
        <v>10</v>
      </c>
      <c r="D77" s="9">
        <v>416.1124727947029</v>
      </c>
      <c r="E77" s="9">
        <v>1111.209444394945</v>
      </c>
      <c r="F77" s="9">
        <v>54082.11896871537</v>
      </c>
      <c r="G77" s="9">
        <v>0</v>
      </c>
      <c r="H77" s="9">
        <v>162.236578881662</v>
      </c>
      <c r="I77" s="9">
        <v>4681.265318940407</v>
      </c>
      <c r="J77" s="9">
        <v>212.3280603293614</v>
      </c>
      <c r="K77" s="9">
        <f>F77+G77-H77-I77-J77</f>
        <v>49026.28901056394</v>
      </c>
      <c r="L77" s="9">
        <v>49026.28901056394</v>
      </c>
      <c r="M77" s="3" t="b">
        <f>ABS(K77-L77)&lt;0.01</f>
        <v>1</v>
      </c>
    </row>
    <row r="78" spans="1:13">
      <c r="A78" s="7">
        <v>46235</v>
      </c>
      <c r="B78" s="3" t="s">
        <v>170</v>
      </c>
      <c r="C78" s="8">
        <v>10</v>
      </c>
      <c r="D78" s="9">
        <v>424.498730956292</v>
      </c>
      <c r="E78" s="9">
        <v>1133.604565621916</v>
      </c>
      <c r="F78" s="9">
        <v>60041.85161822588</v>
      </c>
      <c r="G78" s="9">
        <v>0</v>
      </c>
      <c r="H78" s="9">
        <v>165.5062665807998</v>
      </c>
      <c r="I78" s="9">
        <v>4775.610723258285</v>
      </c>
      <c r="J78" s="9">
        <v>1026.181918174686</v>
      </c>
      <c r="K78" s="9">
        <f>F78+G78-H78-I78-J78</f>
        <v>54074.552710212105</v>
      </c>
      <c r="L78" s="9">
        <v>54074.55271021211</v>
      </c>
      <c r="M78" s="3" t="b">
        <f>ABS(K78-L78)&lt;0.01</f>
        <v>1</v>
      </c>
    </row>
    <row r="79" spans="1:13">
      <c r="A79" s="7">
        <v>46266</v>
      </c>
      <c r="B79" s="3" t="s">
        <v>170</v>
      </c>
      <c r="C79" s="8">
        <v>10</v>
      </c>
      <c r="D79" s="9">
        <v>432.865820637528</v>
      </c>
      <c r="E79" s="9">
        <v>1155.948498293399</v>
      </c>
      <c r="F79" s="9">
        <v>77952.95942584069</v>
      </c>
      <c r="G79" s="9">
        <v>0</v>
      </c>
      <c r="H79" s="9">
        <v>168.7684807508362</v>
      </c>
      <c r="I79" s="9">
        <v>4869.74048217219</v>
      </c>
      <c r="J79" s="9">
        <v>2759.781600663496</v>
      </c>
      <c r="K79" s="9">
        <f>F79+G79-H79-I79-J79</f>
        <v>70154.66886225417</v>
      </c>
      <c r="L79" s="9">
        <v>70154.66886225417</v>
      </c>
      <c r="M79" s="3" t="b">
        <f>ABS(K79-L79)&lt;0.01</f>
        <v>1</v>
      </c>
    </row>
    <row r="80" spans="1:13">
      <c r="A80" s="10" t="s">
        <v>174</v>
      </c>
      <c r="D80" s="10">
        <f>SUM(D4:D79)</f>
        <v>0</v>
      </c>
      <c r="E80" s="10">
        <f>SUM(E4:E79)</f>
        <v>0</v>
      </c>
      <c r="F80" s="10">
        <f>SUM(F4:F79)</f>
        <v>0</v>
      </c>
      <c r="G80" s="10">
        <f>SUM(G4:G79)</f>
        <v>0</v>
      </c>
      <c r="H80" s="10">
        <f>SUM(H4:H79)</f>
        <v>0</v>
      </c>
      <c r="I80" s="10">
        <f>SUM(I4:I79)</f>
        <v>0</v>
      </c>
      <c r="J80" s="10">
        <f>SUM(J4:J79)</f>
        <v>0</v>
      </c>
      <c r="K80" s="10">
        <f>SUM(K4:K79)</f>
        <v>0</v>
      </c>
      <c r="L80" s="10">
        <f>SUM(L4:L79)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cols>
    <col min="1" max="1" width="34.7109375" customWidth="1"/>
    <col min="2" max="14" width="13.7109375" customWidth="1"/>
  </cols>
  <sheetData>
    <row r="1" spans="1:13">
      <c r="A1" s="1" t="s">
        <v>175</v>
      </c>
    </row>
    <row r="2" spans="1:13">
      <c r="A2" s="5" t="s">
        <v>176</v>
      </c>
    </row>
    <row r="4" spans="1:13">
      <c r="A4" s="2" t="s">
        <v>177</v>
      </c>
      <c r="B4" s="2" t="s">
        <v>160</v>
      </c>
      <c r="C4" s="2" t="s">
        <v>178</v>
      </c>
      <c r="D4" s="2" t="s">
        <v>179</v>
      </c>
      <c r="E4" s="2" t="s">
        <v>180</v>
      </c>
      <c r="F4" s="2" t="s">
        <v>181</v>
      </c>
      <c r="G4" s="2" t="s">
        <v>182</v>
      </c>
      <c r="H4" s="2" t="s">
        <v>183</v>
      </c>
      <c r="I4" s="2" t="s">
        <v>184</v>
      </c>
      <c r="J4" s="2" t="s">
        <v>185</v>
      </c>
      <c r="K4" s="2" t="s">
        <v>186</v>
      </c>
      <c r="L4" s="2" t="s">
        <v>187</v>
      </c>
      <c r="M4" s="2" t="s">
        <v>188</v>
      </c>
    </row>
    <row r="5" spans="1:13">
      <c r="A5" s="3" t="s">
        <v>168</v>
      </c>
      <c r="B5" s="6">
        <v>60</v>
      </c>
      <c r="C5" s="6">
        <v>0.3</v>
      </c>
      <c r="D5" s="6">
        <v>81.63762761119142</v>
      </c>
      <c r="E5" s="6">
        <v>82.70634102879688</v>
      </c>
      <c r="F5" s="6">
        <v>1.066976338433614</v>
      </c>
      <c r="G5" s="6">
        <v>4006.592548644327</v>
      </c>
      <c r="H5" s="6">
        <v>2.670454545454545</v>
      </c>
      <c r="I5" s="6">
        <v>0.13</v>
      </c>
      <c r="J5" s="6">
        <v>11.25</v>
      </c>
      <c r="K5" s="6">
        <v>0.09234037809604131</v>
      </c>
      <c r="L5" s="6">
        <v>36.04631011084599</v>
      </c>
      <c r="M5" s="9">
        <f>B5*(1-C5)*D5*(E5*F5-H5*I5-J5-K5*L5)+B5*C5*G5</f>
        <v>323516.9101500898</v>
      </c>
    </row>
    <row r="6" spans="1:13">
      <c r="A6" s="3" t="s">
        <v>169</v>
      </c>
      <c r="B6" s="6">
        <v>30</v>
      </c>
      <c r="C6" s="6">
        <v>0.2</v>
      </c>
      <c r="D6" s="6">
        <v>81.63855166684336</v>
      </c>
      <c r="E6" s="6">
        <v>82.72917519183487</v>
      </c>
      <c r="F6" s="6">
        <v>1.066676612762797</v>
      </c>
      <c r="G6" s="6">
        <v>4006.592548644327</v>
      </c>
      <c r="H6" s="6">
        <v>2.670454545454545</v>
      </c>
      <c r="I6" s="6">
        <v>0.13</v>
      </c>
      <c r="J6" s="6">
        <v>11.25</v>
      </c>
      <c r="K6" s="6">
        <v>0.09234037809604131</v>
      </c>
      <c r="L6" s="6">
        <v>36.04631011084599</v>
      </c>
      <c r="M6" s="9">
        <f>B6*(1-C6)*D6*(E6*F6-H6*I6-J6-K6*L6)+B6*C6*G6</f>
        <v>167696.4734219582</v>
      </c>
    </row>
    <row r="7" spans="1:13">
      <c r="A7" s="3" t="s">
        <v>170</v>
      </c>
      <c r="B7" s="6">
        <v>10</v>
      </c>
      <c r="C7" s="6">
        <v>0</v>
      </c>
      <c r="D7" s="6">
        <v>41.74067773222023</v>
      </c>
      <c r="E7" s="6">
        <v>86.1967973213974</v>
      </c>
      <c r="F7" s="6">
        <v>1.060325953982096</v>
      </c>
      <c r="G7" s="6">
        <v>4006.592548644327</v>
      </c>
      <c r="H7" s="6">
        <v>2.670454545454545</v>
      </c>
      <c r="I7" s="6">
        <v>0.13</v>
      </c>
      <c r="J7" s="6">
        <v>11.25</v>
      </c>
      <c r="K7" s="6">
        <v>0.09234037809604131</v>
      </c>
      <c r="L7" s="6">
        <v>36.04631011084599</v>
      </c>
      <c r="M7" s="9">
        <f>B7*(1-C7)*D7*(E7*F7-H7*I7-J7-K7*L7)+B7*C7*G7</f>
        <v>31919.51882545829</v>
      </c>
    </row>
    <row r="10" spans="1:13">
      <c r="A10" s="2" t="s">
        <v>189</v>
      </c>
      <c r="B10" s="2" t="s">
        <v>160</v>
      </c>
      <c r="C10" s="2" t="s">
        <v>178</v>
      </c>
      <c r="D10" s="2" t="s">
        <v>179</v>
      </c>
      <c r="E10" s="2" t="s">
        <v>180</v>
      </c>
      <c r="F10" s="2" t="s">
        <v>181</v>
      </c>
      <c r="G10" s="2" t="s">
        <v>182</v>
      </c>
      <c r="H10" s="2" t="s">
        <v>183</v>
      </c>
      <c r="I10" s="2" t="s">
        <v>184</v>
      </c>
      <c r="J10" s="2" t="s">
        <v>185</v>
      </c>
      <c r="K10" s="2" t="s">
        <v>186</v>
      </c>
      <c r="L10" s="2" t="s">
        <v>187</v>
      </c>
      <c r="M10" s="2" t="s">
        <v>188</v>
      </c>
    </row>
    <row r="11" spans="1:13">
      <c r="A11" s="3" t="s">
        <v>168</v>
      </c>
      <c r="B11" s="8">
        <v>60</v>
      </c>
      <c r="C11" s="8">
        <v>0.3</v>
      </c>
      <c r="D11" s="8">
        <v>82.29016195108184</v>
      </c>
      <c r="E11" s="8">
        <v>137.2962567323</v>
      </c>
      <c r="F11" s="8">
        <v>1.107867599592361</v>
      </c>
      <c r="G11" s="8">
        <v>2795.517991715222</v>
      </c>
      <c r="H11" s="8">
        <v>2.670454545454545</v>
      </c>
      <c r="I11" s="8">
        <v>0.146</v>
      </c>
      <c r="J11" s="8">
        <v>11.25</v>
      </c>
      <c r="K11" s="8">
        <v>0.03884290247614815</v>
      </c>
      <c r="L11" s="8">
        <v>10.34035858741459</v>
      </c>
      <c r="M11" s="9">
        <f>B11*(1-C11)*D11*(E11*F11-H11*I11-J11-K11*L11)+B11*C11*G11</f>
        <v>534408.5331494875</v>
      </c>
    </row>
    <row r="12" spans="1:13">
      <c r="A12" s="3" t="s">
        <v>169</v>
      </c>
      <c r="B12" s="8">
        <v>30</v>
      </c>
      <c r="C12" s="8">
        <v>0.2</v>
      </c>
      <c r="D12" s="8">
        <v>82.27016195108185</v>
      </c>
      <c r="E12" s="8">
        <v>137.5945325259863</v>
      </c>
      <c r="F12" s="8">
        <v>1.105587039844077</v>
      </c>
      <c r="G12" s="8">
        <v>2795.517991715222</v>
      </c>
      <c r="H12" s="8">
        <v>2.670454545454545</v>
      </c>
      <c r="I12" s="8">
        <v>0.146</v>
      </c>
      <c r="J12" s="8">
        <v>11.25</v>
      </c>
      <c r="K12" s="8">
        <v>0.1136579768707658</v>
      </c>
      <c r="L12" s="8">
        <v>25.76461809495341</v>
      </c>
      <c r="M12" s="9">
        <f>B12*(1-C12)*D12*(E12*F12-H12*I12-J12-K12*L12)+B12*C12*G12</f>
        <v>288372.23435162567</v>
      </c>
    </row>
    <row r="13" spans="1:13">
      <c r="A13" s="3" t="s">
        <v>170</v>
      </c>
      <c r="B13" s="8">
        <v>10</v>
      </c>
      <c r="C13" s="8">
        <v>0</v>
      </c>
      <c r="D13" s="8">
        <v>43.4798730956292</v>
      </c>
      <c r="E13" s="8">
        <v>144.3437275820079</v>
      </c>
      <c r="F13" s="8">
        <v>1.100053973004435</v>
      </c>
      <c r="G13" s="8">
        <v>0</v>
      </c>
      <c r="H13" s="8">
        <v>2.670454545454546</v>
      </c>
      <c r="I13" s="8">
        <v>0.146</v>
      </c>
      <c r="J13" s="8">
        <v>11.25</v>
      </c>
      <c r="K13" s="8">
        <v>0.03027670319242315</v>
      </c>
      <c r="L13" s="8">
        <v>213.8903499617203</v>
      </c>
      <c r="M13" s="9">
        <f>B13*(1-C13)*D13*(E13*F13-H13*I13-J13-K13*L13)+B13*C13*G13</f>
        <v>61163.185311354544</v>
      </c>
    </row>
    <row r="16" spans="1:13">
      <c r="A16" s="2" t="s">
        <v>190</v>
      </c>
      <c r="B16" s="2" t="s">
        <v>168</v>
      </c>
      <c r="C16" s="2" t="s">
        <v>169</v>
      </c>
      <c r="D16" s="2" t="s">
        <v>170</v>
      </c>
      <c r="E16" s="2" t="s">
        <v>191</v>
      </c>
      <c r="F16" s="2" t="s">
        <v>192</v>
      </c>
    </row>
    <row r="17" spans="1:6">
      <c r="A17" s="3" t="s">
        <v>193</v>
      </c>
      <c r="B17" s="9">
        <f>(B11-B5)*((1-C5)*D5*E5*F5+C5*G5)</f>
        <v>0.0</v>
      </c>
      <c r="C17" s="9">
        <f>(B12-B6)*((1-C6)*D6*E6*F6+C6*G6)</f>
        <v>0.0</v>
      </c>
      <c r="D17" s="9">
        <f>(B13-B7)*((1-C7)*D7*E7*F7+C7*G7)</f>
        <v>0.0</v>
      </c>
      <c r="E17" s="9">
        <f>SUM(B17:D17)</f>
        <v>0</v>
      </c>
      <c r="F17" s="3">
        <f>AND(ABS(E17)&gt;=mat_eur,ABS(E17)&gt;=mat_pct*ABS(SUM(M5:M7)))</f>
        <v>0</v>
      </c>
    </row>
    <row r="18" spans="1:6">
      <c r="A18" s="3" t="s">
        <v>194</v>
      </c>
      <c r="B18" s="9">
        <f>B11*(((1-C11)-(1-C5))*D5*E5*F5+(C11-C5)*G5)</f>
        <v>0.0</v>
      </c>
      <c r="C18" s="9">
        <f>B12*(((1-C12)-(1-C6))*D6*E6*F6+(C12-C6)*G6)</f>
        <v>0.0</v>
      </c>
      <c r="D18" s="9">
        <f>B13*(((1-C13)-(1-C7))*D7*E7*F7+(C13-C7)*G7)</f>
        <v>0.0</v>
      </c>
      <c r="E18" s="9">
        <f>SUM(B18:D18)</f>
        <v>0</v>
      </c>
      <c r="F18" s="3">
        <f>AND(ABS(E18)&gt;=mat_eur,ABS(E18)&gt;=mat_pct*ABS(SUM(M5:M7)))</f>
        <v>0</v>
      </c>
    </row>
    <row r="19" spans="1:6">
      <c r="A19" s="3" t="s">
        <v>195</v>
      </c>
      <c r="B19" s="9">
        <f>B11*(1-C11)*(D11-D5)*E5*F5</f>
        <v>2418.5009274619492</v>
      </c>
      <c r="C19" s="9">
        <f>B12*(1-C12)*(D12-D6)*E6*F6</f>
        <v>1337.6789781825787</v>
      </c>
      <c r="D19" s="9">
        <f>B13*(1-C13)*(D13-D7)*E7*F7</f>
        <v>1589.5671921881578</v>
      </c>
      <c r="E19" s="9">
        <f>SUM(B19:D19)</f>
        <v>0</v>
      </c>
      <c r="F19" s="3">
        <f>AND(ABS(E19)&gt;=mat_eur,ABS(E19)&gt;=mat_pct*ABS(SUM(M5:M7)))</f>
        <v>0</v>
      </c>
    </row>
    <row r="20" spans="1:6">
      <c r="A20" s="3" t="s">
        <v>196</v>
      </c>
      <c r="B20" s="9">
        <f>B11*(1-C11)*D11*(E11-E5)*F5</f>
        <v>201309.56926996243</v>
      </c>
      <c r="C20" s="9">
        <f>B12*(1-C12)*D12*(E12-E6)*F6</f>
        <v>115553.89240283868</v>
      </c>
      <c r="D20" s="9">
        <f>B13*(1-C13)*D13*(E13-E7)*F7</f>
        <v>26807.385013006693</v>
      </c>
      <c r="E20" s="9">
        <f>SUM(B20:D20)</f>
        <v>0</v>
      </c>
      <c r="F20" s="3">
        <f>AND(ABS(E20)&gt;=mat_eur,ABS(E20)&gt;=mat_pct*ABS(SUM(M5:M7)))</f>
        <v>0</v>
      </c>
    </row>
    <row r="21" spans="1:6">
      <c r="A21" s="3" t="s">
        <v>197</v>
      </c>
      <c r="B21" s="9">
        <f>B11*(1-C11)*D11*E11*(F11-F5)</f>
        <v>19403.78301026338</v>
      </c>
      <c r="C21" s="9">
        <f>B12*(1-C12)*D12*E12*(F12-F6)</f>
        <v>10571.114299931725</v>
      </c>
      <c r="D21" s="9">
        <f>B13*(1-C13)*D13*E13*(F13-F7)</f>
        <v>2493.3491290930697</v>
      </c>
      <c r="E21" s="9">
        <f>SUM(B21:D21)</f>
        <v>0</v>
      </c>
      <c r="F21" s="3">
        <f>AND(ABS(E21)&gt;=mat_eur,ABS(E21)&gt;=mat_pct*ABS(SUM(M5:M7)))</f>
        <v>0</v>
      </c>
    </row>
    <row r="22" spans="1:6">
      <c r="A22" s="3" t="s">
        <v>198</v>
      </c>
      <c r="B22" s="9">
        <f>B11*C11*(G11-G5)</f>
        <v>-21799.342024723894</v>
      </c>
      <c r="C22" s="9">
        <f>B12*C12*(G12-G6)</f>
        <v>-7266.4473415746315</v>
      </c>
      <c r="D22" s="9">
        <f>B13*C13*(G13-G7)</f>
        <v>-0.0</v>
      </c>
      <c r="E22" s="9">
        <f>SUM(B22:D22)</f>
        <v>0</v>
      </c>
      <c r="F22" s="3">
        <f>AND(ABS(E22)&gt;=mat_eur,ABS(E22)&gt;=mat_pct*ABS(SUM(M5:M7)))</f>
        <v>0</v>
      </c>
    </row>
    <row r="23" spans="1:6">
      <c r="A23" s="3" t="s">
        <v>199</v>
      </c>
      <c r="B23" s="9">
        <f>-I5*(B11*(1-C11)*D11*H11-B5*(1-C5)*D5*H5)</f>
        <v>-9.514395585379841</v>
      </c>
      <c r="C23" s="9">
        <f>-I6*(B12*(1-C12)*D12*H12-B6*(1-C6)*D6*H6)</f>
        <v>-5.262462050041712</v>
      </c>
      <c r="D23" s="9">
        <f>-I7*(B13*(1-C13)*D13*H13-B7*(1-C7)*D7*H7)</f>
        <v>-6.037774812743729</v>
      </c>
      <c r="E23" s="9">
        <f>SUM(B23:D23)</f>
        <v>0</v>
      </c>
      <c r="F23" s="3">
        <f>AND(ABS(E23)&gt;=mat_eur,ABS(E23)&gt;=mat_pct*ABS(SUM(M5:M7)))</f>
        <v>0</v>
      </c>
    </row>
    <row r="24" spans="1:6">
      <c r="A24" s="3" t="s">
        <v>200</v>
      </c>
      <c r="B24" s="9">
        <f>-B11*(1-C11)*D11*H11*(I11-I5)</f>
        <v>-147.67343608312333</v>
      </c>
      <c r="C24" s="9">
        <f>-B12*(1-C12)*D12*H12*(I12-I6)</f>
        <v>-84.36431152801867</v>
      </c>
      <c r="D24" s="9">
        <f>-B13*(1-C13)*D13*H13*(I13-I7)</f>
        <v>-18.577763959041587</v>
      </c>
      <c r="E24" s="9">
        <f>SUM(B24:D24)</f>
        <v>0</v>
      </c>
      <c r="F24" s="3">
        <f>AND(ABS(E24)&gt;=mat_eur,ABS(E24)&gt;=mat_pct*ABS(SUM(M5:M7)))</f>
        <v>0</v>
      </c>
    </row>
    <row r="25" spans="1:6">
      <c r="A25" s="3" t="s">
        <v>201</v>
      </c>
      <c r="B25" s="9">
        <f>-J5*(B11*(1-C11)*D11-B5*(1-C5)*D5)</f>
        <v>-308.32247559822406</v>
      </c>
      <c r="C25" s="9">
        <f>-J6*(B12*(1-C12)*D12-B6*(1-C6)*D6)</f>
        <v>-170.5347767443925</v>
      </c>
      <c r="D25" s="9">
        <f>-J7*(B13*(1-C13)*D13-B7*(1-C7)*D7)</f>
        <v>-195.6594783835098</v>
      </c>
      <c r="E25" s="9">
        <f>SUM(B25:D25)</f>
        <v>0</v>
      </c>
      <c r="F25" s="3">
        <f>AND(ABS(E25)&gt;=mat_eur,ABS(E25)&gt;=mat_pct*ABS(SUM(M5:M7)))</f>
        <v>0</v>
      </c>
    </row>
    <row r="26" spans="1:6">
      <c r="A26" s="3" t="s">
        <v>202</v>
      </c>
      <c r="B26" s="9">
        <f>-B11*(1-C11)*D11*(J11-J5)</f>
        <v>-0.0</v>
      </c>
      <c r="C26" s="9">
        <f>-B12*(1-C12)*D12*(J12-J6)</f>
        <v>3.507387956648892e-12</v>
      </c>
      <c r="D26" s="9">
        <f>-B13*(1-C13)*D13*(J13-J7)</f>
        <v>-0.0</v>
      </c>
      <c r="E26" s="9">
        <f>SUM(B26:D26)</f>
        <v>0</v>
      </c>
      <c r="F26" s="3">
        <f>AND(ABS(E26)&gt;=mat_eur,ABS(E26)&gt;=mat_pct*ABS(SUM(M5:M7)))</f>
        <v>0</v>
      </c>
    </row>
    <row r="27" spans="1:6">
      <c r="A27" s="3" t="s">
        <v>203</v>
      </c>
      <c r="B27" s="9">
        <f>-L5*(B11*(1-C11)*D11*K11-B5*(1-C5)*D5*K5)</f>
        <v>6573.641140633591</v>
      </c>
      <c r="C27" s="9">
        <f>-L6*(B12*(1-C12)*D12*K12-B6*(1-C6)*D6*K6)</f>
        <v>-1567.6904502719015</v>
      </c>
      <c r="D27" s="9">
        <f>-L7*(B13*(1-C13)*D13*K13-B7*(1-C7)*D7*K7)</f>
        <v>914.8275052776241</v>
      </c>
      <c r="E27" s="9">
        <f>SUM(B27:D27)</f>
        <v>0</v>
      </c>
      <c r="F27" s="3">
        <f>AND(ABS(E27)&gt;=mat_eur,ABS(E27)&gt;=mat_pct*ABS(SUM(M5:M7)))</f>
        <v>0</v>
      </c>
    </row>
    <row r="28" spans="1:6">
      <c r="A28" s="3" t="s">
        <v>204</v>
      </c>
      <c r="B28" s="9">
        <f>-B11*(1-C11)*D11*K11*(L11-L5)</f>
        <v>3450.9809830671425</v>
      </c>
      <c r="C28" s="9">
        <f>-B12*(1-C12)*D12*K12*(L12-L6)</f>
        <v>2307.374590883504</v>
      </c>
      <c r="D28" s="9">
        <f>-B13*(1-C13)*D13*K13*(L13-L7)</f>
        <v>-2341.18733651401</v>
      </c>
      <c r="E28" s="9">
        <f>SUM(B28:D28)</f>
        <v>0</v>
      </c>
      <c r="F28" s="3">
        <f>AND(ABS(E28)&gt;=mat_eur,ABS(E28)&gt;=mat_pct*ABS(SUM(M5:M7)))</f>
        <v>0</v>
      </c>
    </row>
    <row r="30" spans="1:6">
      <c r="A30" s="10" t="s">
        <v>205</v>
      </c>
      <c r="E30" s="10">
        <f>SUM(M5:M7)</f>
        <v>0</v>
      </c>
    </row>
    <row r="31" spans="1:6">
      <c r="A31" s="3" t="s">
        <v>206</v>
      </c>
      <c r="E31" s="9">
        <f>SUM(E17:E28)</f>
        <v>0</v>
      </c>
    </row>
    <row r="32" spans="1:6">
      <c r="A32" s="10" t="s">
        <v>207</v>
      </c>
      <c r="E32" s="10">
        <f>SUM(M11:M13)</f>
        <v>0</v>
      </c>
    </row>
    <row r="33" spans="1:5">
      <c r="A33" s="3" t="s">
        <v>208</v>
      </c>
      <c r="E33" s="11">
        <f>E30+E31-E32</f>
        <v>0</v>
      </c>
    </row>
  </sheetData>
  <conditionalFormatting sqref="F17:F28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52"/>
  <sheetViews>
    <sheetView workbookViewId="0"/>
  </sheetViews>
  <sheetFormatPr defaultRowHeight="15"/>
  <cols>
    <col min="1" max="4" width="14.7109375" customWidth="1"/>
  </cols>
  <sheetData>
    <row r="1" spans="1:4">
      <c r="A1" s="1" t="s">
        <v>209</v>
      </c>
    </row>
    <row r="3" spans="1:4">
      <c r="A3" s="2" t="s">
        <v>210</v>
      </c>
      <c r="B3" s="2" t="s">
        <v>211</v>
      </c>
      <c r="C3" s="2" t="s">
        <v>212</v>
      </c>
      <c r="D3" s="2" t="s">
        <v>213</v>
      </c>
    </row>
    <row r="4" spans="1:4">
      <c r="A4" s="12">
        <v>43466</v>
      </c>
      <c r="B4" s="3">
        <v>96</v>
      </c>
      <c r="C4" s="3">
        <v>96</v>
      </c>
      <c r="D4" s="3">
        <f>C4-B4</f>
        <v>0</v>
      </c>
    </row>
    <row r="5" spans="1:4">
      <c r="A5" s="12">
        <v>43467</v>
      </c>
      <c r="B5" s="3">
        <v>96</v>
      </c>
      <c r="C5" s="3">
        <v>96</v>
      </c>
      <c r="D5" s="3">
        <f>C5-B5</f>
        <v>0</v>
      </c>
    </row>
    <row r="6" spans="1:4">
      <c r="A6" s="12">
        <v>43468</v>
      </c>
      <c r="B6" s="3">
        <v>96</v>
      </c>
      <c r="C6" s="3">
        <v>96</v>
      </c>
      <c r="D6" s="3">
        <f>C6-B6</f>
        <v>0</v>
      </c>
    </row>
    <row r="7" spans="1:4">
      <c r="A7" s="12">
        <v>43469</v>
      </c>
      <c r="B7" s="3">
        <v>96</v>
      </c>
      <c r="C7" s="3">
        <v>96</v>
      </c>
      <c r="D7" s="3">
        <f>C7-B7</f>
        <v>0</v>
      </c>
    </row>
    <row r="8" spans="1:4">
      <c r="A8" s="12">
        <v>43470</v>
      </c>
      <c r="B8" s="3">
        <v>96</v>
      </c>
      <c r="C8" s="3">
        <v>96</v>
      </c>
      <c r="D8" s="3">
        <f>C8-B8</f>
        <v>0</v>
      </c>
    </row>
    <row r="9" spans="1:4">
      <c r="A9" s="12">
        <v>43471</v>
      </c>
      <c r="B9" s="3">
        <v>96</v>
      </c>
      <c r="C9" s="3">
        <v>96</v>
      </c>
      <c r="D9" s="3">
        <f>C9-B9</f>
        <v>0</v>
      </c>
    </row>
    <row r="10" spans="1:4">
      <c r="A10" s="12">
        <v>43472</v>
      </c>
      <c r="B10" s="3">
        <v>96</v>
      </c>
      <c r="C10" s="3">
        <v>96</v>
      </c>
      <c r="D10" s="3">
        <f>C10-B10</f>
        <v>0</v>
      </c>
    </row>
    <row r="11" spans="1:4">
      <c r="A11" s="12">
        <v>43473</v>
      </c>
      <c r="B11" s="3">
        <v>96</v>
      </c>
      <c r="C11" s="3">
        <v>96</v>
      </c>
      <c r="D11" s="3">
        <f>C11-B11</f>
        <v>0</v>
      </c>
    </row>
    <row r="12" spans="1:4">
      <c r="A12" s="12">
        <v>43474</v>
      </c>
      <c r="B12" s="3">
        <v>96</v>
      </c>
      <c r="C12" s="3">
        <v>96</v>
      </c>
      <c r="D12" s="3">
        <f>C12-B12</f>
        <v>0</v>
      </c>
    </row>
    <row r="13" spans="1:4">
      <c r="A13" s="12">
        <v>43475</v>
      </c>
      <c r="B13" s="3">
        <v>96</v>
      </c>
      <c r="C13" s="3">
        <v>96</v>
      </c>
      <c r="D13" s="3">
        <f>C13-B13</f>
        <v>0</v>
      </c>
    </row>
    <row r="14" spans="1:4">
      <c r="A14" s="12">
        <v>43476</v>
      </c>
      <c r="B14" s="3">
        <v>96</v>
      </c>
      <c r="C14" s="3">
        <v>96</v>
      </c>
      <c r="D14" s="3">
        <f>C14-B14</f>
        <v>0</v>
      </c>
    </row>
    <row r="15" spans="1:4">
      <c r="A15" s="12">
        <v>43477</v>
      </c>
      <c r="B15" s="3">
        <v>96</v>
      </c>
      <c r="C15" s="3">
        <v>96</v>
      </c>
      <c r="D15" s="3">
        <f>C15-B15</f>
        <v>0</v>
      </c>
    </row>
    <row r="16" spans="1:4">
      <c r="A16" s="12">
        <v>43478</v>
      </c>
      <c r="B16" s="3">
        <v>96</v>
      </c>
      <c r="C16" s="3">
        <v>96</v>
      </c>
      <c r="D16" s="3">
        <f>C16-B16</f>
        <v>0</v>
      </c>
    </row>
    <row r="17" spans="1:4">
      <c r="A17" s="12">
        <v>43479</v>
      </c>
      <c r="B17" s="3">
        <v>96</v>
      </c>
      <c r="C17" s="3">
        <v>96</v>
      </c>
      <c r="D17" s="3">
        <f>C17-B17</f>
        <v>0</v>
      </c>
    </row>
    <row r="18" spans="1:4">
      <c r="A18" s="12">
        <v>43480</v>
      </c>
      <c r="B18" s="3">
        <v>96</v>
      </c>
      <c r="C18" s="3">
        <v>96</v>
      </c>
      <c r="D18" s="3">
        <f>C18-B18</f>
        <v>0</v>
      </c>
    </row>
    <row r="19" spans="1:4">
      <c r="A19" s="12">
        <v>43481</v>
      </c>
      <c r="B19" s="3">
        <v>96</v>
      </c>
      <c r="C19" s="3">
        <v>96</v>
      </c>
      <c r="D19" s="3">
        <f>C19-B19</f>
        <v>0</v>
      </c>
    </row>
    <row r="20" spans="1:4">
      <c r="A20" s="12">
        <v>43482</v>
      </c>
      <c r="B20" s="3">
        <v>96</v>
      </c>
      <c r="C20" s="3">
        <v>96</v>
      </c>
      <c r="D20" s="3">
        <f>C20-B20</f>
        <v>0</v>
      </c>
    </row>
    <row r="21" spans="1:4">
      <c r="A21" s="12">
        <v>43483</v>
      </c>
      <c r="B21" s="3">
        <v>96</v>
      </c>
      <c r="C21" s="3">
        <v>96</v>
      </c>
      <c r="D21" s="3">
        <f>C21-B21</f>
        <v>0</v>
      </c>
    </row>
    <row r="22" spans="1:4">
      <c r="A22" s="12">
        <v>43484</v>
      </c>
      <c r="B22" s="3">
        <v>96</v>
      </c>
      <c r="C22" s="3">
        <v>96</v>
      </c>
      <c r="D22" s="3">
        <f>C22-B22</f>
        <v>0</v>
      </c>
    </row>
    <row r="23" spans="1:4">
      <c r="A23" s="12">
        <v>43485</v>
      </c>
      <c r="B23" s="3">
        <v>96</v>
      </c>
      <c r="C23" s="3">
        <v>96</v>
      </c>
      <c r="D23" s="3">
        <f>C23-B23</f>
        <v>0</v>
      </c>
    </row>
    <row r="24" spans="1:4">
      <c r="A24" s="12">
        <v>43486</v>
      </c>
      <c r="B24" s="3">
        <v>96</v>
      </c>
      <c r="C24" s="3">
        <v>96</v>
      </c>
      <c r="D24" s="3">
        <f>C24-B24</f>
        <v>0</v>
      </c>
    </row>
    <row r="25" spans="1:4">
      <c r="A25" s="12">
        <v>43487</v>
      </c>
      <c r="B25" s="3">
        <v>96</v>
      </c>
      <c r="C25" s="3">
        <v>96</v>
      </c>
      <c r="D25" s="3">
        <f>C25-B25</f>
        <v>0</v>
      </c>
    </row>
    <row r="26" spans="1:4">
      <c r="A26" s="12">
        <v>43488</v>
      </c>
      <c r="B26" s="3">
        <v>96</v>
      </c>
      <c r="C26" s="3">
        <v>96</v>
      </c>
      <c r="D26" s="3">
        <f>C26-B26</f>
        <v>0</v>
      </c>
    </row>
    <row r="27" spans="1:4">
      <c r="A27" s="12">
        <v>43489</v>
      </c>
      <c r="B27" s="3">
        <v>96</v>
      </c>
      <c r="C27" s="3">
        <v>96</v>
      </c>
      <c r="D27" s="3">
        <f>C27-B27</f>
        <v>0</v>
      </c>
    </row>
    <row r="28" spans="1:4">
      <c r="A28" s="12">
        <v>43490</v>
      </c>
      <c r="B28" s="3">
        <v>96</v>
      </c>
      <c r="C28" s="3">
        <v>96</v>
      </c>
      <c r="D28" s="3">
        <f>C28-B28</f>
        <v>0</v>
      </c>
    </row>
    <row r="29" spans="1:4">
      <c r="A29" s="12">
        <v>43491</v>
      </c>
      <c r="B29" s="3">
        <v>96</v>
      </c>
      <c r="C29" s="3">
        <v>96</v>
      </c>
      <c r="D29" s="3">
        <f>C29-B29</f>
        <v>0</v>
      </c>
    </row>
    <row r="30" spans="1:4">
      <c r="A30" s="12">
        <v>43492</v>
      </c>
      <c r="B30" s="3">
        <v>96</v>
      </c>
      <c r="C30" s="3">
        <v>96</v>
      </c>
      <c r="D30" s="3">
        <f>C30-B30</f>
        <v>0</v>
      </c>
    </row>
    <row r="31" spans="1:4">
      <c r="A31" s="12">
        <v>43493</v>
      </c>
      <c r="B31" s="3">
        <v>96</v>
      </c>
      <c r="C31" s="3">
        <v>96</v>
      </c>
      <c r="D31" s="3">
        <f>C31-B31</f>
        <v>0</v>
      </c>
    </row>
    <row r="32" spans="1:4">
      <c r="A32" s="12">
        <v>43494</v>
      </c>
      <c r="B32" s="3">
        <v>96</v>
      </c>
      <c r="C32" s="3">
        <v>96</v>
      </c>
      <c r="D32" s="3">
        <f>C32-B32</f>
        <v>0</v>
      </c>
    </row>
    <row r="33" spans="1:4">
      <c r="A33" s="12">
        <v>43495</v>
      </c>
      <c r="B33" s="3">
        <v>96</v>
      </c>
      <c r="C33" s="3">
        <v>96</v>
      </c>
      <c r="D33" s="3">
        <f>C33-B33</f>
        <v>0</v>
      </c>
    </row>
    <row r="34" spans="1:4">
      <c r="A34" s="12">
        <v>43496</v>
      </c>
      <c r="B34" s="3">
        <v>96</v>
      </c>
      <c r="C34" s="3">
        <v>96</v>
      </c>
      <c r="D34" s="3">
        <f>C34-B34</f>
        <v>0</v>
      </c>
    </row>
    <row r="35" spans="1:4">
      <c r="A35" s="12">
        <v>43497</v>
      </c>
      <c r="B35" s="3">
        <v>96</v>
      </c>
      <c r="C35" s="3">
        <v>96</v>
      </c>
      <c r="D35" s="3">
        <f>C35-B35</f>
        <v>0</v>
      </c>
    </row>
    <row r="36" spans="1:4">
      <c r="A36" s="12">
        <v>43498</v>
      </c>
      <c r="B36" s="3">
        <v>96</v>
      </c>
      <c r="C36" s="3">
        <v>96</v>
      </c>
      <c r="D36" s="3">
        <f>C36-B36</f>
        <v>0</v>
      </c>
    </row>
    <row r="37" spans="1:4">
      <c r="A37" s="12">
        <v>43499</v>
      </c>
      <c r="B37" s="3">
        <v>96</v>
      </c>
      <c r="C37" s="3">
        <v>96</v>
      </c>
      <c r="D37" s="3">
        <f>C37-B37</f>
        <v>0</v>
      </c>
    </row>
    <row r="38" spans="1:4">
      <c r="A38" s="12">
        <v>43500</v>
      </c>
      <c r="B38" s="3">
        <v>96</v>
      </c>
      <c r="C38" s="3">
        <v>96</v>
      </c>
      <c r="D38" s="3">
        <f>C38-B38</f>
        <v>0</v>
      </c>
    </row>
    <row r="39" spans="1:4">
      <c r="A39" s="12">
        <v>43501</v>
      </c>
      <c r="B39" s="3">
        <v>96</v>
      </c>
      <c r="C39" s="3">
        <v>96</v>
      </c>
      <c r="D39" s="3">
        <f>C39-B39</f>
        <v>0</v>
      </c>
    </row>
    <row r="40" spans="1:4">
      <c r="A40" s="12">
        <v>43502</v>
      </c>
      <c r="B40" s="3">
        <v>96</v>
      </c>
      <c r="C40" s="3">
        <v>96</v>
      </c>
      <c r="D40" s="3">
        <f>C40-B40</f>
        <v>0</v>
      </c>
    </row>
    <row r="41" spans="1:4">
      <c r="A41" s="12">
        <v>43503</v>
      </c>
      <c r="B41" s="3">
        <v>96</v>
      </c>
      <c r="C41" s="3">
        <v>96</v>
      </c>
      <c r="D41" s="3">
        <f>C41-B41</f>
        <v>0</v>
      </c>
    </row>
    <row r="42" spans="1:4">
      <c r="A42" s="12">
        <v>43504</v>
      </c>
      <c r="B42" s="3">
        <v>96</v>
      </c>
      <c r="C42" s="3">
        <v>96</v>
      </c>
      <c r="D42" s="3">
        <f>C42-B42</f>
        <v>0</v>
      </c>
    </row>
    <row r="43" spans="1:4">
      <c r="A43" s="12">
        <v>43505</v>
      </c>
      <c r="B43" s="3">
        <v>96</v>
      </c>
      <c r="C43" s="3">
        <v>96</v>
      </c>
      <c r="D43" s="3">
        <f>C43-B43</f>
        <v>0</v>
      </c>
    </row>
    <row r="44" spans="1:4">
      <c r="A44" s="12">
        <v>43506</v>
      </c>
      <c r="B44" s="3">
        <v>96</v>
      </c>
      <c r="C44" s="3">
        <v>96</v>
      </c>
      <c r="D44" s="3">
        <f>C44-B44</f>
        <v>0</v>
      </c>
    </row>
    <row r="45" spans="1:4">
      <c r="A45" s="12">
        <v>43507</v>
      </c>
      <c r="B45" s="3">
        <v>96</v>
      </c>
      <c r="C45" s="3">
        <v>96</v>
      </c>
      <c r="D45" s="3">
        <f>C45-B45</f>
        <v>0</v>
      </c>
    </row>
    <row r="46" spans="1:4">
      <c r="A46" s="12">
        <v>43508</v>
      </c>
      <c r="B46" s="3">
        <v>96</v>
      </c>
      <c r="C46" s="3">
        <v>96</v>
      </c>
      <c r="D46" s="3">
        <f>C46-B46</f>
        <v>0</v>
      </c>
    </row>
    <row r="47" spans="1:4">
      <c r="A47" s="12">
        <v>43509</v>
      </c>
      <c r="B47" s="3">
        <v>96</v>
      </c>
      <c r="C47" s="3">
        <v>96</v>
      </c>
      <c r="D47" s="3">
        <f>C47-B47</f>
        <v>0</v>
      </c>
    </row>
    <row r="48" spans="1:4">
      <c r="A48" s="12">
        <v>43510</v>
      </c>
      <c r="B48" s="3">
        <v>96</v>
      </c>
      <c r="C48" s="3">
        <v>96</v>
      </c>
      <c r="D48" s="3">
        <f>C48-B48</f>
        <v>0</v>
      </c>
    </row>
    <row r="49" spans="1:4">
      <c r="A49" s="12">
        <v>43511</v>
      </c>
      <c r="B49" s="3">
        <v>96</v>
      </c>
      <c r="C49" s="3">
        <v>96</v>
      </c>
      <c r="D49" s="3">
        <f>C49-B49</f>
        <v>0</v>
      </c>
    </row>
    <row r="50" spans="1:4">
      <c r="A50" s="12">
        <v>43512</v>
      </c>
      <c r="B50" s="3">
        <v>96</v>
      </c>
      <c r="C50" s="3">
        <v>96</v>
      </c>
      <c r="D50" s="3">
        <f>C50-B50</f>
        <v>0</v>
      </c>
    </row>
    <row r="51" spans="1:4">
      <c r="A51" s="12">
        <v>43513</v>
      </c>
      <c r="B51" s="3">
        <v>96</v>
      </c>
      <c r="C51" s="3">
        <v>96</v>
      </c>
      <c r="D51" s="3">
        <f>C51-B51</f>
        <v>0</v>
      </c>
    </row>
    <row r="52" spans="1:4">
      <c r="A52" s="12">
        <v>43514</v>
      </c>
      <c r="B52" s="3">
        <v>96</v>
      </c>
      <c r="C52" s="3">
        <v>96</v>
      </c>
      <c r="D52" s="3">
        <f>C52-B52</f>
        <v>0</v>
      </c>
    </row>
    <row r="53" spans="1:4">
      <c r="A53" s="12">
        <v>43515</v>
      </c>
      <c r="B53" s="3">
        <v>96</v>
      </c>
      <c r="C53" s="3">
        <v>96</v>
      </c>
      <c r="D53" s="3">
        <f>C53-B53</f>
        <v>0</v>
      </c>
    </row>
    <row r="54" spans="1:4">
      <c r="A54" s="12">
        <v>43516</v>
      </c>
      <c r="B54" s="3">
        <v>96</v>
      </c>
      <c r="C54" s="3">
        <v>96</v>
      </c>
      <c r="D54" s="3">
        <f>C54-B54</f>
        <v>0</v>
      </c>
    </row>
    <row r="55" spans="1:4">
      <c r="A55" s="12">
        <v>43517</v>
      </c>
      <c r="B55" s="3">
        <v>96</v>
      </c>
      <c r="C55" s="3">
        <v>96</v>
      </c>
      <c r="D55" s="3">
        <f>C55-B55</f>
        <v>0</v>
      </c>
    </row>
    <row r="56" spans="1:4">
      <c r="A56" s="12">
        <v>43518</v>
      </c>
      <c r="B56" s="3">
        <v>96</v>
      </c>
      <c r="C56" s="3">
        <v>96</v>
      </c>
      <c r="D56" s="3">
        <f>C56-B56</f>
        <v>0</v>
      </c>
    </row>
    <row r="57" spans="1:4">
      <c r="A57" s="12">
        <v>43519</v>
      </c>
      <c r="B57" s="3">
        <v>96</v>
      </c>
      <c r="C57" s="3">
        <v>96</v>
      </c>
      <c r="D57" s="3">
        <f>C57-B57</f>
        <v>0</v>
      </c>
    </row>
    <row r="58" spans="1:4">
      <c r="A58" s="12">
        <v>43520</v>
      </c>
      <c r="B58" s="3">
        <v>96</v>
      </c>
      <c r="C58" s="3">
        <v>96</v>
      </c>
      <c r="D58" s="3">
        <f>C58-B58</f>
        <v>0</v>
      </c>
    </row>
    <row r="59" spans="1:4">
      <c r="A59" s="12">
        <v>43521</v>
      </c>
      <c r="B59" s="3">
        <v>96</v>
      </c>
      <c r="C59" s="3">
        <v>96</v>
      </c>
      <c r="D59" s="3">
        <f>C59-B59</f>
        <v>0</v>
      </c>
    </row>
    <row r="60" spans="1:4">
      <c r="A60" s="12">
        <v>43522</v>
      </c>
      <c r="B60" s="3">
        <v>96</v>
      </c>
      <c r="C60" s="3">
        <v>96</v>
      </c>
      <c r="D60" s="3">
        <f>C60-B60</f>
        <v>0</v>
      </c>
    </row>
    <row r="61" spans="1:4">
      <c r="A61" s="12">
        <v>43523</v>
      </c>
      <c r="B61" s="3">
        <v>96</v>
      </c>
      <c r="C61" s="3">
        <v>96</v>
      </c>
      <c r="D61" s="3">
        <f>C61-B61</f>
        <v>0</v>
      </c>
    </row>
    <row r="62" spans="1:4">
      <c r="A62" s="12">
        <v>43524</v>
      </c>
      <c r="B62" s="3">
        <v>96</v>
      </c>
      <c r="C62" s="3">
        <v>96</v>
      </c>
      <c r="D62" s="3">
        <f>C62-B62</f>
        <v>0</v>
      </c>
    </row>
    <row r="63" spans="1:4">
      <c r="A63" s="12">
        <v>43525</v>
      </c>
      <c r="B63" s="3">
        <v>96</v>
      </c>
      <c r="C63" s="3">
        <v>96</v>
      </c>
      <c r="D63" s="3">
        <f>C63-B63</f>
        <v>0</v>
      </c>
    </row>
    <row r="64" spans="1:4">
      <c r="A64" s="12">
        <v>43526</v>
      </c>
      <c r="B64" s="3">
        <v>96</v>
      </c>
      <c r="C64" s="3">
        <v>96</v>
      </c>
      <c r="D64" s="3">
        <f>C64-B64</f>
        <v>0</v>
      </c>
    </row>
    <row r="65" spans="1:4">
      <c r="A65" s="12">
        <v>43527</v>
      </c>
      <c r="B65" s="3">
        <v>96</v>
      </c>
      <c r="C65" s="3">
        <v>96</v>
      </c>
      <c r="D65" s="3">
        <f>C65-B65</f>
        <v>0</v>
      </c>
    </row>
    <row r="66" spans="1:4">
      <c r="A66" s="12">
        <v>43528</v>
      </c>
      <c r="B66" s="3">
        <v>96</v>
      </c>
      <c r="C66" s="3">
        <v>96</v>
      </c>
      <c r="D66" s="3">
        <f>C66-B66</f>
        <v>0</v>
      </c>
    </row>
    <row r="67" spans="1:4">
      <c r="A67" s="12">
        <v>43529</v>
      </c>
      <c r="B67" s="3">
        <v>96</v>
      </c>
      <c r="C67" s="3">
        <v>96</v>
      </c>
      <c r="D67" s="3">
        <f>C67-B67</f>
        <v>0</v>
      </c>
    </row>
    <row r="68" spans="1:4">
      <c r="A68" s="12">
        <v>43530</v>
      </c>
      <c r="B68" s="3">
        <v>96</v>
      </c>
      <c r="C68" s="3">
        <v>96</v>
      </c>
      <c r="D68" s="3">
        <f>C68-B68</f>
        <v>0</v>
      </c>
    </row>
    <row r="69" spans="1:4">
      <c r="A69" s="12">
        <v>43531</v>
      </c>
      <c r="B69" s="3">
        <v>96</v>
      </c>
      <c r="C69" s="3">
        <v>96</v>
      </c>
      <c r="D69" s="3">
        <f>C69-B69</f>
        <v>0</v>
      </c>
    </row>
    <row r="70" spans="1:4">
      <c r="A70" s="12">
        <v>43532</v>
      </c>
      <c r="B70" s="3">
        <v>96</v>
      </c>
      <c r="C70" s="3">
        <v>96</v>
      </c>
      <c r="D70" s="3">
        <f>C70-B70</f>
        <v>0</v>
      </c>
    </row>
    <row r="71" spans="1:4">
      <c r="A71" s="12">
        <v>43533</v>
      </c>
      <c r="B71" s="3">
        <v>96</v>
      </c>
      <c r="C71" s="3">
        <v>96</v>
      </c>
      <c r="D71" s="3">
        <f>C71-B71</f>
        <v>0</v>
      </c>
    </row>
    <row r="72" spans="1:4">
      <c r="A72" s="12">
        <v>43534</v>
      </c>
      <c r="B72" s="3">
        <v>96</v>
      </c>
      <c r="C72" s="3">
        <v>96</v>
      </c>
      <c r="D72" s="3">
        <f>C72-B72</f>
        <v>0</v>
      </c>
    </row>
    <row r="73" spans="1:4">
      <c r="A73" s="12">
        <v>43535</v>
      </c>
      <c r="B73" s="3">
        <v>96</v>
      </c>
      <c r="C73" s="3">
        <v>96</v>
      </c>
      <c r="D73" s="3">
        <f>C73-B73</f>
        <v>0</v>
      </c>
    </row>
    <row r="74" spans="1:4">
      <c r="A74" s="12">
        <v>43536</v>
      </c>
      <c r="B74" s="3">
        <v>96</v>
      </c>
      <c r="C74" s="3">
        <v>96</v>
      </c>
      <c r="D74" s="3">
        <f>C74-B74</f>
        <v>0</v>
      </c>
    </row>
    <row r="75" spans="1:4">
      <c r="A75" s="12">
        <v>43537</v>
      </c>
      <c r="B75" s="3">
        <v>96</v>
      </c>
      <c r="C75" s="3">
        <v>96</v>
      </c>
      <c r="D75" s="3">
        <f>C75-B75</f>
        <v>0</v>
      </c>
    </row>
    <row r="76" spans="1:4">
      <c r="A76" s="12">
        <v>43538</v>
      </c>
      <c r="B76" s="3">
        <v>96</v>
      </c>
      <c r="C76" s="3">
        <v>96</v>
      </c>
      <c r="D76" s="3">
        <f>C76-B76</f>
        <v>0</v>
      </c>
    </row>
    <row r="77" spans="1:4">
      <c r="A77" s="12">
        <v>43539</v>
      </c>
      <c r="B77" s="3">
        <v>96</v>
      </c>
      <c r="C77" s="3">
        <v>96</v>
      </c>
      <c r="D77" s="3">
        <f>C77-B77</f>
        <v>0</v>
      </c>
    </row>
    <row r="78" spans="1:4">
      <c r="A78" s="12">
        <v>43540</v>
      </c>
      <c r="B78" s="3">
        <v>96</v>
      </c>
      <c r="C78" s="3">
        <v>96</v>
      </c>
      <c r="D78" s="3">
        <f>C78-B78</f>
        <v>0</v>
      </c>
    </row>
    <row r="79" spans="1:4">
      <c r="A79" s="12">
        <v>43541</v>
      </c>
      <c r="B79" s="3">
        <v>96</v>
      </c>
      <c r="C79" s="3">
        <v>96</v>
      </c>
      <c r="D79" s="3">
        <f>C79-B79</f>
        <v>0</v>
      </c>
    </row>
    <row r="80" spans="1:4">
      <c r="A80" s="12">
        <v>43542</v>
      </c>
      <c r="B80" s="3">
        <v>96</v>
      </c>
      <c r="C80" s="3">
        <v>96</v>
      </c>
      <c r="D80" s="3">
        <f>C80-B80</f>
        <v>0</v>
      </c>
    </row>
    <row r="81" spans="1:4">
      <c r="A81" s="12">
        <v>43543</v>
      </c>
      <c r="B81" s="3">
        <v>96</v>
      </c>
      <c r="C81" s="3">
        <v>96</v>
      </c>
      <c r="D81" s="3">
        <f>C81-B81</f>
        <v>0</v>
      </c>
    </row>
    <row r="82" spans="1:4">
      <c r="A82" s="12">
        <v>43544</v>
      </c>
      <c r="B82" s="3">
        <v>96</v>
      </c>
      <c r="C82" s="3">
        <v>96</v>
      </c>
      <c r="D82" s="3">
        <f>C82-B82</f>
        <v>0</v>
      </c>
    </row>
    <row r="83" spans="1:4">
      <c r="A83" s="12">
        <v>43545</v>
      </c>
      <c r="B83" s="3">
        <v>96</v>
      </c>
      <c r="C83" s="3">
        <v>96</v>
      </c>
      <c r="D83" s="3">
        <f>C83-B83</f>
        <v>0</v>
      </c>
    </row>
    <row r="84" spans="1:4">
      <c r="A84" s="12">
        <v>43546</v>
      </c>
      <c r="B84" s="3">
        <v>96</v>
      </c>
      <c r="C84" s="3">
        <v>96</v>
      </c>
      <c r="D84" s="3">
        <f>C84-B84</f>
        <v>0</v>
      </c>
    </row>
    <row r="85" spans="1:4">
      <c r="A85" s="12">
        <v>43547</v>
      </c>
      <c r="B85" s="3">
        <v>96</v>
      </c>
      <c r="C85" s="3">
        <v>96</v>
      </c>
      <c r="D85" s="3">
        <f>C85-B85</f>
        <v>0</v>
      </c>
    </row>
    <row r="86" spans="1:4">
      <c r="A86" s="12">
        <v>43548</v>
      </c>
      <c r="B86" s="3">
        <v>96</v>
      </c>
      <c r="C86" s="3">
        <v>96</v>
      </c>
      <c r="D86" s="3">
        <f>C86-B86</f>
        <v>0</v>
      </c>
    </row>
    <row r="87" spans="1:4">
      <c r="A87" s="12">
        <v>43549</v>
      </c>
      <c r="B87" s="3">
        <v>96</v>
      </c>
      <c r="C87" s="3">
        <v>96</v>
      </c>
      <c r="D87" s="3">
        <f>C87-B87</f>
        <v>0</v>
      </c>
    </row>
    <row r="88" spans="1:4">
      <c r="A88" s="12">
        <v>43550</v>
      </c>
      <c r="B88" s="3">
        <v>96</v>
      </c>
      <c r="C88" s="3">
        <v>96</v>
      </c>
      <c r="D88" s="3">
        <f>C88-B88</f>
        <v>0</v>
      </c>
    </row>
    <row r="89" spans="1:4">
      <c r="A89" s="12">
        <v>43551</v>
      </c>
      <c r="B89" s="3">
        <v>96</v>
      </c>
      <c r="C89" s="3">
        <v>96</v>
      </c>
      <c r="D89" s="3">
        <f>C89-B89</f>
        <v>0</v>
      </c>
    </row>
    <row r="90" spans="1:4">
      <c r="A90" s="12">
        <v>43552</v>
      </c>
      <c r="B90" s="3">
        <v>96</v>
      </c>
      <c r="C90" s="3">
        <v>96</v>
      </c>
      <c r="D90" s="3">
        <f>C90-B90</f>
        <v>0</v>
      </c>
    </row>
    <row r="91" spans="1:4">
      <c r="A91" s="12">
        <v>43553</v>
      </c>
      <c r="B91" s="3">
        <v>96</v>
      </c>
      <c r="C91" s="3">
        <v>96</v>
      </c>
      <c r="D91" s="3">
        <f>C91-B91</f>
        <v>0</v>
      </c>
    </row>
    <row r="92" spans="1:4">
      <c r="A92" s="12">
        <v>43554</v>
      </c>
      <c r="B92" s="3">
        <v>96</v>
      </c>
      <c r="C92" s="3">
        <v>96</v>
      </c>
      <c r="D92" s="3">
        <f>C92-B92</f>
        <v>0</v>
      </c>
    </row>
    <row r="93" spans="1:4">
      <c r="A93" s="12">
        <v>43555</v>
      </c>
      <c r="B93" s="3">
        <v>92</v>
      </c>
      <c r="C93" s="3">
        <v>92</v>
      </c>
      <c r="D93" s="3">
        <f>C93-B93</f>
        <v>0</v>
      </c>
    </row>
    <row r="94" spans="1:4">
      <c r="A94" s="12">
        <v>43556</v>
      </c>
      <c r="B94" s="3">
        <v>96</v>
      </c>
      <c r="C94" s="3">
        <v>96</v>
      </c>
      <c r="D94" s="3">
        <f>C94-B94</f>
        <v>0</v>
      </c>
    </row>
    <row r="95" spans="1:4">
      <c r="A95" s="12">
        <v>43557</v>
      </c>
      <c r="B95" s="3">
        <v>96</v>
      </c>
      <c r="C95" s="3">
        <v>96</v>
      </c>
      <c r="D95" s="3">
        <f>C95-B95</f>
        <v>0</v>
      </c>
    </row>
    <row r="96" spans="1:4">
      <c r="A96" s="12">
        <v>43558</v>
      </c>
      <c r="B96" s="3">
        <v>96</v>
      </c>
      <c r="C96" s="3">
        <v>96</v>
      </c>
      <c r="D96" s="3">
        <f>C96-B96</f>
        <v>0</v>
      </c>
    </row>
    <row r="97" spans="1:4">
      <c r="A97" s="12">
        <v>43559</v>
      </c>
      <c r="B97" s="3">
        <v>96</v>
      </c>
      <c r="C97" s="3">
        <v>96</v>
      </c>
      <c r="D97" s="3">
        <f>C97-B97</f>
        <v>0</v>
      </c>
    </row>
    <row r="98" spans="1:4">
      <c r="A98" s="12">
        <v>43560</v>
      </c>
      <c r="B98" s="3">
        <v>96</v>
      </c>
      <c r="C98" s="3">
        <v>96</v>
      </c>
      <c r="D98" s="3">
        <f>C98-B98</f>
        <v>0</v>
      </c>
    </row>
    <row r="99" spans="1:4">
      <c r="A99" s="12">
        <v>43561</v>
      </c>
      <c r="B99" s="3">
        <v>96</v>
      </c>
      <c r="C99" s="3">
        <v>96</v>
      </c>
      <c r="D99" s="3">
        <f>C99-B99</f>
        <v>0</v>
      </c>
    </row>
    <row r="100" spans="1:4">
      <c r="A100" s="12">
        <v>43562</v>
      </c>
      <c r="B100" s="3">
        <v>96</v>
      </c>
      <c r="C100" s="3">
        <v>96</v>
      </c>
      <c r="D100" s="3">
        <f>C100-B100</f>
        <v>0</v>
      </c>
    </row>
    <row r="101" spans="1:4">
      <c r="A101" s="12">
        <v>43563</v>
      </c>
      <c r="B101" s="3">
        <v>96</v>
      </c>
      <c r="C101" s="3">
        <v>96</v>
      </c>
      <c r="D101" s="3">
        <f>C101-B101</f>
        <v>0</v>
      </c>
    </row>
    <row r="102" spans="1:4">
      <c r="A102" s="12">
        <v>43564</v>
      </c>
      <c r="B102" s="3">
        <v>96</v>
      </c>
      <c r="C102" s="3">
        <v>96</v>
      </c>
      <c r="D102" s="3">
        <f>C102-B102</f>
        <v>0</v>
      </c>
    </row>
    <row r="103" spans="1:4">
      <c r="A103" s="12">
        <v>43565</v>
      </c>
      <c r="B103" s="3">
        <v>96</v>
      </c>
      <c r="C103" s="3">
        <v>96</v>
      </c>
      <c r="D103" s="3">
        <f>C103-B103</f>
        <v>0</v>
      </c>
    </row>
    <row r="104" spans="1:4">
      <c r="A104" s="12">
        <v>43566</v>
      </c>
      <c r="B104" s="3">
        <v>96</v>
      </c>
      <c r="C104" s="3">
        <v>96</v>
      </c>
      <c r="D104" s="3">
        <f>C104-B104</f>
        <v>0</v>
      </c>
    </row>
    <row r="105" spans="1:4">
      <c r="A105" s="12">
        <v>43567</v>
      </c>
      <c r="B105" s="3">
        <v>96</v>
      </c>
      <c r="C105" s="3">
        <v>96</v>
      </c>
      <c r="D105" s="3">
        <f>C105-B105</f>
        <v>0</v>
      </c>
    </row>
    <row r="106" spans="1:4">
      <c r="A106" s="12">
        <v>43568</v>
      </c>
      <c r="B106" s="3">
        <v>96</v>
      </c>
      <c r="C106" s="3">
        <v>96</v>
      </c>
      <c r="D106" s="3">
        <f>C106-B106</f>
        <v>0</v>
      </c>
    </row>
    <row r="107" spans="1:4">
      <c r="A107" s="12">
        <v>43569</v>
      </c>
      <c r="B107" s="3">
        <v>96</v>
      </c>
      <c r="C107" s="3">
        <v>96</v>
      </c>
      <c r="D107" s="3">
        <f>C107-B107</f>
        <v>0</v>
      </c>
    </row>
    <row r="108" spans="1:4">
      <c r="A108" s="12">
        <v>43570</v>
      </c>
      <c r="B108" s="3">
        <v>96</v>
      </c>
      <c r="C108" s="3">
        <v>96</v>
      </c>
      <c r="D108" s="3">
        <f>C108-B108</f>
        <v>0</v>
      </c>
    </row>
    <row r="109" spans="1:4">
      <c r="A109" s="12">
        <v>43571</v>
      </c>
      <c r="B109" s="3">
        <v>96</v>
      </c>
      <c r="C109" s="3">
        <v>96</v>
      </c>
      <c r="D109" s="3">
        <f>C109-B109</f>
        <v>0</v>
      </c>
    </row>
    <row r="110" spans="1:4">
      <c r="A110" s="12">
        <v>43572</v>
      </c>
      <c r="B110" s="3">
        <v>96</v>
      </c>
      <c r="C110" s="3">
        <v>96</v>
      </c>
      <c r="D110" s="3">
        <f>C110-B110</f>
        <v>0</v>
      </c>
    </row>
    <row r="111" spans="1:4">
      <c r="A111" s="12">
        <v>43573</v>
      </c>
      <c r="B111" s="3">
        <v>96</v>
      </c>
      <c r="C111" s="3">
        <v>96</v>
      </c>
      <c r="D111" s="3">
        <f>C111-B111</f>
        <v>0</v>
      </c>
    </row>
    <row r="112" spans="1:4">
      <c r="A112" s="12">
        <v>43574</v>
      </c>
      <c r="B112" s="3">
        <v>96</v>
      </c>
      <c r="C112" s="3">
        <v>96</v>
      </c>
      <c r="D112" s="3">
        <f>C112-B112</f>
        <v>0</v>
      </c>
    </row>
    <row r="113" spans="1:4">
      <c r="A113" s="12">
        <v>43575</v>
      </c>
      <c r="B113" s="3">
        <v>96</v>
      </c>
      <c r="C113" s="3">
        <v>96</v>
      </c>
      <c r="D113" s="3">
        <f>C113-B113</f>
        <v>0</v>
      </c>
    </row>
    <row r="114" spans="1:4">
      <c r="A114" s="12">
        <v>43576</v>
      </c>
      <c r="B114" s="3">
        <v>96</v>
      </c>
      <c r="C114" s="3">
        <v>96</v>
      </c>
      <c r="D114" s="3">
        <f>C114-B114</f>
        <v>0</v>
      </c>
    </row>
    <row r="115" spans="1:4">
      <c r="A115" s="12">
        <v>43577</v>
      </c>
      <c r="B115" s="3">
        <v>96</v>
      </c>
      <c r="C115" s="3">
        <v>96</v>
      </c>
      <c r="D115" s="3">
        <f>C115-B115</f>
        <v>0</v>
      </c>
    </row>
    <row r="116" spans="1:4">
      <c r="A116" s="12">
        <v>43578</v>
      </c>
      <c r="B116" s="3">
        <v>96</v>
      </c>
      <c r="C116" s="3">
        <v>96</v>
      </c>
      <c r="D116" s="3">
        <f>C116-B116</f>
        <v>0</v>
      </c>
    </row>
    <row r="117" spans="1:4">
      <c r="A117" s="12">
        <v>43579</v>
      </c>
      <c r="B117" s="3">
        <v>96</v>
      </c>
      <c r="C117" s="3">
        <v>96</v>
      </c>
      <c r="D117" s="3">
        <f>C117-B117</f>
        <v>0</v>
      </c>
    </row>
    <row r="118" spans="1:4">
      <c r="A118" s="12">
        <v>43580</v>
      </c>
      <c r="B118" s="3">
        <v>96</v>
      </c>
      <c r="C118" s="3">
        <v>96</v>
      </c>
      <c r="D118" s="3">
        <f>C118-B118</f>
        <v>0</v>
      </c>
    </row>
    <row r="119" spans="1:4">
      <c r="A119" s="12">
        <v>43581</v>
      </c>
      <c r="B119" s="3">
        <v>96</v>
      </c>
      <c r="C119" s="3">
        <v>96</v>
      </c>
      <c r="D119" s="3">
        <f>C119-B119</f>
        <v>0</v>
      </c>
    </row>
    <row r="120" spans="1:4">
      <c r="A120" s="12">
        <v>43582</v>
      </c>
      <c r="B120" s="3">
        <v>96</v>
      </c>
      <c r="C120" s="3">
        <v>96</v>
      </c>
      <c r="D120" s="3">
        <f>C120-B120</f>
        <v>0</v>
      </c>
    </row>
    <row r="121" spans="1:4">
      <c r="A121" s="12">
        <v>43583</v>
      </c>
      <c r="B121" s="3">
        <v>96</v>
      </c>
      <c r="C121" s="3">
        <v>96</v>
      </c>
      <c r="D121" s="3">
        <f>C121-B121</f>
        <v>0</v>
      </c>
    </row>
    <row r="122" spans="1:4">
      <c r="A122" s="12">
        <v>43584</v>
      </c>
      <c r="B122" s="3">
        <v>96</v>
      </c>
      <c r="C122" s="3">
        <v>96</v>
      </c>
      <c r="D122" s="3">
        <f>C122-B122</f>
        <v>0</v>
      </c>
    </row>
    <row r="123" spans="1:4">
      <c r="A123" s="12">
        <v>43585</v>
      </c>
      <c r="B123" s="3">
        <v>96</v>
      </c>
      <c r="C123" s="3">
        <v>96</v>
      </c>
      <c r="D123" s="3">
        <f>C123-B123</f>
        <v>0</v>
      </c>
    </row>
    <row r="124" spans="1:4">
      <c r="A124" s="12">
        <v>43586</v>
      </c>
      <c r="B124" s="3">
        <v>96</v>
      </c>
      <c r="C124" s="3">
        <v>96</v>
      </c>
      <c r="D124" s="3">
        <f>C124-B124</f>
        <v>0</v>
      </c>
    </row>
    <row r="125" spans="1:4">
      <c r="A125" s="12">
        <v>43587</v>
      </c>
      <c r="B125" s="3">
        <v>96</v>
      </c>
      <c r="C125" s="3">
        <v>96</v>
      </c>
      <c r="D125" s="3">
        <f>C125-B125</f>
        <v>0</v>
      </c>
    </row>
    <row r="126" spans="1:4">
      <c r="A126" s="12">
        <v>43588</v>
      </c>
      <c r="B126" s="3">
        <v>96</v>
      </c>
      <c r="C126" s="3">
        <v>96</v>
      </c>
      <c r="D126" s="3">
        <f>C126-B126</f>
        <v>0</v>
      </c>
    </row>
    <row r="127" spans="1:4">
      <c r="A127" s="12">
        <v>43589</v>
      </c>
      <c r="B127" s="3">
        <v>96</v>
      </c>
      <c r="C127" s="3">
        <v>96</v>
      </c>
      <c r="D127" s="3">
        <f>C127-B127</f>
        <v>0</v>
      </c>
    </row>
    <row r="128" spans="1:4">
      <c r="A128" s="12">
        <v>43590</v>
      </c>
      <c r="B128" s="3">
        <v>96</v>
      </c>
      <c r="C128" s="3">
        <v>96</v>
      </c>
      <c r="D128" s="3">
        <f>C128-B128</f>
        <v>0</v>
      </c>
    </row>
    <row r="129" spans="1:4">
      <c r="A129" s="12">
        <v>43591</v>
      </c>
      <c r="B129" s="3">
        <v>96</v>
      </c>
      <c r="C129" s="3">
        <v>96</v>
      </c>
      <c r="D129" s="3">
        <f>C129-B129</f>
        <v>0</v>
      </c>
    </row>
    <row r="130" spans="1:4">
      <c r="A130" s="12">
        <v>43592</v>
      </c>
      <c r="B130" s="3">
        <v>96</v>
      </c>
      <c r="C130" s="3">
        <v>96</v>
      </c>
      <c r="D130" s="3">
        <f>C130-B130</f>
        <v>0</v>
      </c>
    </row>
    <row r="131" spans="1:4">
      <c r="A131" s="12">
        <v>43593</v>
      </c>
      <c r="B131" s="3">
        <v>96</v>
      </c>
      <c r="C131" s="3">
        <v>96</v>
      </c>
      <c r="D131" s="3">
        <f>C131-B131</f>
        <v>0</v>
      </c>
    </row>
    <row r="132" spans="1:4">
      <c r="A132" s="12">
        <v>43594</v>
      </c>
      <c r="B132" s="3">
        <v>96</v>
      </c>
      <c r="C132" s="3">
        <v>96</v>
      </c>
      <c r="D132" s="3">
        <f>C132-B132</f>
        <v>0</v>
      </c>
    </row>
    <row r="133" spans="1:4">
      <c r="A133" s="12">
        <v>43595</v>
      </c>
      <c r="B133" s="3">
        <v>96</v>
      </c>
      <c r="C133" s="3">
        <v>96</v>
      </c>
      <c r="D133" s="3">
        <f>C133-B133</f>
        <v>0</v>
      </c>
    </row>
    <row r="134" spans="1:4">
      <c r="A134" s="12">
        <v>43596</v>
      </c>
      <c r="B134" s="3">
        <v>96</v>
      </c>
      <c r="C134" s="3">
        <v>96</v>
      </c>
      <c r="D134" s="3">
        <f>C134-B134</f>
        <v>0</v>
      </c>
    </row>
    <row r="135" spans="1:4">
      <c r="A135" s="12">
        <v>43597</v>
      </c>
      <c r="B135" s="3">
        <v>96</v>
      </c>
      <c r="C135" s="3">
        <v>96</v>
      </c>
      <c r="D135" s="3">
        <f>C135-B135</f>
        <v>0</v>
      </c>
    </row>
    <row r="136" spans="1:4">
      <c r="A136" s="12">
        <v>43598</v>
      </c>
      <c r="B136" s="3">
        <v>96</v>
      </c>
      <c r="C136" s="3">
        <v>96</v>
      </c>
      <c r="D136" s="3">
        <f>C136-B136</f>
        <v>0</v>
      </c>
    </row>
    <row r="137" spans="1:4">
      <c r="A137" s="12">
        <v>43599</v>
      </c>
      <c r="B137" s="3">
        <v>96</v>
      </c>
      <c r="C137" s="3">
        <v>96</v>
      </c>
      <c r="D137" s="3">
        <f>C137-B137</f>
        <v>0</v>
      </c>
    </row>
    <row r="138" spans="1:4">
      <c r="A138" s="12">
        <v>43600</v>
      </c>
      <c r="B138" s="3">
        <v>96</v>
      </c>
      <c r="C138" s="3">
        <v>96</v>
      </c>
      <c r="D138" s="3">
        <f>C138-B138</f>
        <v>0</v>
      </c>
    </row>
    <row r="139" spans="1:4">
      <c r="A139" s="12">
        <v>43601</v>
      </c>
      <c r="B139" s="3">
        <v>96</v>
      </c>
      <c r="C139" s="3">
        <v>96</v>
      </c>
      <c r="D139" s="3">
        <f>C139-B139</f>
        <v>0</v>
      </c>
    </row>
    <row r="140" spans="1:4">
      <c r="A140" s="12">
        <v>43602</v>
      </c>
      <c r="B140" s="3">
        <v>96</v>
      </c>
      <c r="C140" s="3">
        <v>96</v>
      </c>
      <c r="D140" s="3">
        <f>C140-B140</f>
        <v>0</v>
      </c>
    </row>
    <row r="141" spans="1:4">
      <c r="A141" s="12">
        <v>43603</v>
      </c>
      <c r="B141" s="3">
        <v>96</v>
      </c>
      <c r="C141" s="3">
        <v>96</v>
      </c>
      <c r="D141" s="3">
        <f>C141-B141</f>
        <v>0</v>
      </c>
    </row>
    <row r="142" spans="1:4">
      <c r="A142" s="12">
        <v>43604</v>
      </c>
      <c r="B142" s="3">
        <v>96</v>
      </c>
      <c r="C142" s="3">
        <v>96</v>
      </c>
      <c r="D142" s="3">
        <f>C142-B142</f>
        <v>0</v>
      </c>
    </row>
    <row r="143" spans="1:4">
      <c r="A143" s="12">
        <v>43605</v>
      </c>
      <c r="B143" s="3">
        <v>96</v>
      </c>
      <c r="C143" s="3">
        <v>96</v>
      </c>
      <c r="D143" s="3">
        <f>C143-B143</f>
        <v>0</v>
      </c>
    </row>
    <row r="144" spans="1:4">
      <c r="A144" s="12">
        <v>43606</v>
      </c>
      <c r="B144" s="3">
        <v>96</v>
      </c>
      <c r="C144" s="3">
        <v>96</v>
      </c>
      <c r="D144" s="3">
        <f>C144-B144</f>
        <v>0</v>
      </c>
    </row>
    <row r="145" spans="1:4">
      <c r="A145" s="12">
        <v>43607</v>
      </c>
      <c r="B145" s="3">
        <v>96</v>
      </c>
      <c r="C145" s="3">
        <v>96</v>
      </c>
      <c r="D145" s="3">
        <f>C145-B145</f>
        <v>0</v>
      </c>
    </row>
    <row r="146" spans="1:4">
      <c r="A146" s="12">
        <v>43608</v>
      </c>
      <c r="B146" s="3">
        <v>96</v>
      </c>
      <c r="C146" s="3">
        <v>96</v>
      </c>
      <c r="D146" s="3">
        <f>C146-B146</f>
        <v>0</v>
      </c>
    </row>
    <row r="147" spans="1:4">
      <c r="A147" s="12">
        <v>43609</v>
      </c>
      <c r="B147" s="3">
        <v>96</v>
      </c>
      <c r="C147" s="3">
        <v>96</v>
      </c>
      <c r="D147" s="3">
        <f>C147-B147</f>
        <v>0</v>
      </c>
    </row>
    <row r="148" spans="1:4">
      <c r="A148" s="12">
        <v>43610</v>
      </c>
      <c r="B148" s="3">
        <v>96</v>
      </c>
      <c r="C148" s="3">
        <v>96</v>
      </c>
      <c r="D148" s="3">
        <f>C148-B148</f>
        <v>0</v>
      </c>
    </row>
    <row r="149" spans="1:4">
      <c r="A149" s="12">
        <v>43611</v>
      </c>
      <c r="B149" s="3">
        <v>96</v>
      </c>
      <c r="C149" s="3">
        <v>96</v>
      </c>
      <c r="D149" s="3">
        <f>C149-B149</f>
        <v>0</v>
      </c>
    </row>
    <row r="150" spans="1:4">
      <c r="A150" s="12">
        <v>43612</v>
      </c>
      <c r="B150" s="3">
        <v>96</v>
      </c>
      <c r="C150" s="3">
        <v>96</v>
      </c>
      <c r="D150" s="3">
        <f>C150-B150</f>
        <v>0</v>
      </c>
    </row>
    <row r="151" spans="1:4">
      <c r="A151" s="12">
        <v>43613</v>
      </c>
      <c r="B151" s="3">
        <v>96</v>
      </c>
      <c r="C151" s="3">
        <v>96</v>
      </c>
      <c r="D151" s="3">
        <f>C151-B151</f>
        <v>0</v>
      </c>
    </row>
    <row r="152" spans="1:4">
      <c r="A152" s="12">
        <v>43614</v>
      </c>
      <c r="B152" s="3">
        <v>96</v>
      </c>
      <c r="C152" s="3">
        <v>96</v>
      </c>
      <c r="D152" s="3">
        <f>C152-B152</f>
        <v>0</v>
      </c>
    </row>
    <row r="153" spans="1:4">
      <c r="A153" s="12">
        <v>43615</v>
      </c>
      <c r="B153" s="3">
        <v>96</v>
      </c>
      <c r="C153" s="3">
        <v>96</v>
      </c>
      <c r="D153" s="3">
        <f>C153-B153</f>
        <v>0</v>
      </c>
    </row>
    <row r="154" spans="1:4">
      <c r="A154" s="12">
        <v>43616</v>
      </c>
      <c r="B154" s="3">
        <v>96</v>
      </c>
      <c r="C154" s="3">
        <v>96</v>
      </c>
      <c r="D154" s="3">
        <f>C154-B154</f>
        <v>0</v>
      </c>
    </row>
    <row r="155" spans="1:4">
      <c r="A155" s="12">
        <v>43617</v>
      </c>
      <c r="B155" s="3">
        <v>96</v>
      </c>
      <c r="C155" s="3">
        <v>96</v>
      </c>
      <c r="D155" s="3">
        <f>C155-B155</f>
        <v>0</v>
      </c>
    </row>
    <row r="156" spans="1:4">
      <c r="A156" s="12">
        <v>43618</v>
      </c>
      <c r="B156" s="3">
        <v>96</v>
      </c>
      <c r="C156" s="3">
        <v>96</v>
      </c>
      <c r="D156" s="3">
        <f>C156-B156</f>
        <v>0</v>
      </c>
    </row>
    <row r="157" spans="1:4">
      <c r="A157" s="12">
        <v>43619</v>
      </c>
      <c r="B157" s="3">
        <v>96</v>
      </c>
      <c r="C157" s="3">
        <v>96</v>
      </c>
      <c r="D157" s="3">
        <f>C157-B157</f>
        <v>0</v>
      </c>
    </row>
    <row r="158" spans="1:4">
      <c r="A158" s="12">
        <v>43620</v>
      </c>
      <c r="B158" s="3">
        <v>96</v>
      </c>
      <c r="C158" s="3">
        <v>96</v>
      </c>
      <c r="D158" s="3">
        <f>C158-B158</f>
        <v>0</v>
      </c>
    </row>
    <row r="159" spans="1:4">
      <c r="A159" s="12">
        <v>43621</v>
      </c>
      <c r="B159" s="3">
        <v>96</v>
      </c>
      <c r="C159" s="3">
        <v>96</v>
      </c>
      <c r="D159" s="3">
        <f>C159-B159</f>
        <v>0</v>
      </c>
    </row>
    <row r="160" spans="1:4">
      <c r="A160" s="12">
        <v>43622</v>
      </c>
      <c r="B160" s="3">
        <v>96</v>
      </c>
      <c r="C160" s="3">
        <v>96</v>
      </c>
      <c r="D160" s="3">
        <f>C160-B160</f>
        <v>0</v>
      </c>
    </row>
    <row r="161" spans="1:4">
      <c r="A161" s="12">
        <v>43623</v>
      </c>
      <c r="B161" s="3">
        <v>96</v>
      </c>
      <c r="C161" s="3">
        <v>96</v>
      </c>
      <c r="D161" s="3">
        <f>C161-B161</f>
        <v>0</v>
      </c>
    </row>
    <row r="162" spans="1:4">
      <c r="A162" s="12">
        <v>43624</v>
      </c>
      <c r="B162" s="3">
        <v>96</v>
      </c>
      <c r="C162" s="3">
        <v>96</v>
      </c>
      <c r="D162" s="3">
        <f>C162-B162</f>
        <v>0</v>
      </c>
    </row>
    <row r="163" spans="1:4">
      <c r="A163" s="12">
        <v>43625</v>
      </c>
      <c r="B163" s="3">
        <v>96</v>
      </c>
      <c r="C163" s="3">
        <v>96</v>
      </c>
      <c r="D163" s="3">
        <f>C163-B163</f>
        <v>0</v>
      </c>
    </row>
    <row r="164" spans="1:4">
      <c r="A164" s="12">
        <v>43626</v>
      </c>
      <c r="B164" s="3">
        <v>96</v>
      </c>
      <c r="C164" s="3">
        <v>96</v>
      </c>
      <c r="D164" s="3">
        <f>C164-B164</f>
        <v>0</v>
      </c>
    </row>
    <row r="165" spans="1:4">
      <c r="A165" s="12">
        <v>43627</v>
      </c>
      <c r="B165" s="3">
        <v>96</v>
      </c>
      <c r="C165" s="3">
        <v>96</v>
      </c>
      <c r="D165" s="3">
        <f>C165-B165</f>
        <v>0</v>
      </c>
    </row>
    <row r="166" spans="1:4">
      <c r="A166" s="12">
        <v>43628</v>
      </c>
      <c r="B166" s="3">
        <v>96</v>
      </c>
      <c r="C166" s="3">
        <v>96</v>
      </c>
      <c r="D166" s="3">
        <f>C166-B166</f>
        <v>0</v>
      </c>
    </row>
    <row r="167" spans="1:4">
      <c r="A167" s="12">
        <v>43629</v>
      </c>
      <c r="B167" s="3">
        <v>96</v>
      </c>
      <c r="C167" s="3">
        <v>96</v>
      </c>
      <c r="D167" s="3">
        <f>C167-B167</f>
        <v>0</v>
      </c>
    </row>
    <row r="168" spans="1:4">
      <c r="A168" s="12">
        <v>43630</v>
      </c>
      <c r="B168" s="3">
        <v>96</v>
      </c>
      <c r="C168" s="3">
        <v>96</v>
      </c>
      <c r="D168" s="3">
        <f>C168-B168</f>
        <v>0</v>
      </c>
    </row>
    <row r="169" spans="1:4">
      <c r="A169" s="12">
        <v>43631</v>
      </c>
      <c r="B169" s="3">
        <v>96</v>
      </c>
      <c r="C169" s="3">
        <v>96</v>
      </c>
      <c r="D169" s="3">
        <f>C169-B169</f>
        <v>0</v>
      </c>
    </row>
    <row r="170" spans="1:4">
      <c r="A170" s="12">
        <v>43632</v>
      </c>
      <c r="B170" s="3">
        <v>96</v>
      </c>
      <c r="C170" s="3">
        <v>96</v>
      </c>
      <c r="D170" s="3">
        <f>C170-B170</f>
        <v>0</v>
      </c>
    </row>
    <row r="171" spans="1:4">
      <c r="A171" s="12">
        <v>43633</v>
      </c>
      <c r="B171" s="3">
        <v>96</v>
      </c>
      <c r="C171" s="3">
        <v>96</v>
      </c>
      <c r="D171" s="3">
        <f>C171-B171</f>
        <v>0</v>
      </c>
    </row>
    <row r="172" spans="1:4">
      <c r="A172" s="12">
        <v>43634</v>
      </c>
      <c r="B172" s="3">
        <v>96</v>
      </c>
      <c r="C172" s="3">
        <v>96</v>
      </c>
      <c r="D172" s="3">
        <f>C172-B172</f>
        <v>0</v>
      </c>
    </row>
    <row r="173" spans="1:4">
      <c r="A173" s="12">
        <v>43635</v>
      </c>
      <c r="B173" s="3">
        <v>96</v>
      </c>
      <c r="C173" s="3">
        <v>96</v>
      </c>
      <c r="D173" s="3">
        <f>C173-B173</f>
        <v>0</v>
      </c>
    </row>
    <row r="174" spans="1:4">
      <c r="A174" s="12">
        <v>43636</v>
      </c>
      <c r="B174" s="3">
        <v>96</v>
      </c>
      <c r="C174" s="3">
        <v>96</v>
      </c>
      <c r="D174" s="3">
        <f>C174-B174</f>
        <v>0</v>
      </c>
    </row>
    <row r="175" spans="1:4">
      <c r="A175" s="12">
        <v>43637</v>
      </c>
      <c r="B175" s="3">
        <v>96</v>
      </c>
      <c r="C175" s="3">
        <v>96</v>
      </c>
      <c r="D175" s="3">
        <f>C175-B175</f>
        <v>0</v>
      </c>
    </row>
    <row r="176" spans="1:4">
      <c r="A176" s="12">
        <v>43638</v>
      </c>
      <c r="B176" s="3">
        <v>96</v>
      </c>
      <c r="C176" s="3">
        <v>96</v>
      </c>
      <c r="D176" s="3">
        <f>C176-B176</f>
        <v>0</v>
      </c>
    </row>
    <row r="177" spans="1:4">
      <c r="A177" s="12">
        <v>43639</v>
      </c>
      <c r="B177" s="3">
        <v>96</v>
      </c>
      <c r="C177" s="3">
        <v>96</v>
      </c>
      <c r="D177" s="3">
        <f>C177-B177</f>
        <v>0</v>
      </c>
    </row>
    <row r="178" spans="1:4">
      <c r="A178" s="12">
        <v>43640</v>
      </c>
      <c r="B178" s="3">
        <v>96</v>
      </c>
      <c r="C178" s="3">
        <v>96</v>
      </c>
      <c r="D178" s="3">
        <f>C178-B178</f>
        <v>0</v>
      </c>
    </row>
    <row r="179" spans="1:4">
      <c r="A179" s="12">
        <v>43641</v>
      </c>
      <c r="B179" s="3">
        <v>96</v>
      </c>
      <c r="C179" s="3">
        <v>96</v>
      </c>
      <c r="D179" s="3">
        <f>C179-B179</f>
        <v>0</v>
      </c>
    </row>
    <row r="180" spans="1:4">
      <c r="A180" s="12">
        <v>43642</v>
      </c>
      <c r="B180" s="3">
        <v>96</v>
      </c>
      <c r="C180" s="3">
        <v>96</v>
      </c>
      <c r="D180" s="3">
        <f>C180-B180</f>
        <v>0</v>
      </c>
    </row>
    <row r="181" spans="1:4">
      <c r="A181" s="12">
        <v>43643</v>
      </c>
      <c r="B181" s="3">
        <v>96</v>
      </c>
      <c r="C181" s="3">
        <v>96</v>
      </c>
      <c r="D181" s="3">
        <f>C181-B181</f>
        <v>0</v>
      </c>
    </row>
    <row r="182" spans="1:4">
      <c r="A182" s="12">
        <v>43644</v>
      </c>
      <c r="B182" s="3">
        <v>96</v>
      </c>
      <c r="C182" s="3">
        <v>96</v>
      </c>
      <c r="D182" s="3">
        <f>C182-B182</f>
        <v>0</v>
      </c>
    </row>
    <row r="183" spans="1:4">
      <c r="A183" s="12">
        <v>43645</v>
      </c>
      <c r="B183" s="3">
        <v>96</v>
      </c>
      <c r="C183" s="3">
        <v>96</v>
      </c>
      <c r="D183" s="3">
        <f>C183-B183</f>
        <v>0</v>
      </c>
    </row>
    <row r="184" spans="1:4">
      <c r="A184" s="12">
        <v>43646</v>
      </c>
      <c r="B184" s="3">
        <v>96</v>
      </c>
      <c r="C184" s="3">
        <v>96</v>
      </c>
      <c r="D184" s="3">
        <f>C184-B184</f>
        <v>0</v>
      </c>
    </row>
    <row r="185" spans="1:4">
      <c r="A185" s="12">
        <v>43647</v>
      </c>
      <c r="B185" s="3">
        <v>96</v>
      </c>
      <c r="C185" s="3">
        <v>96</v>
      </c>
      <c r="D185" s="3">
        <f>C185-B185</f>
        <v>0</v>
      </c>
    </row>
    <row r="186" spans="1:4">
      <c r="A186" s="12">
        <v>43648</v>
      </c>
      <c r="B186" s="3">
        <v>96</v>
      </c>
      <c r="C186" s="3">
        <v>96</v>
      </c>
      <c r="D186" s="3">
        <f>C186-B186</f>
        <v>0</v>
      </c>
    </row>
    <row r="187" spans="1:4">
      <c r="A187" s="12">
        <v>43649</v>
      </c>
      <c r="B187" s="3">
        <v>96</v>
      </c>
      <c r="C187" s="3">
        <v>96</v>
      </c>
      <c r="D187" s="3">
        <f>C187-B187</f>
        <v>0</v>
      </c>
    </row>
    <row r="188" spans="1:4">
      <c r="A188" s="12">
        <v>43650</v>
      </c>
      <c r="B188" s="3">
        <v>96</v>
      </c>
      <c r="C188" s="3">
        <v>96</v>
      </c>
      <c r="D188" s="3">
        <f>C188-B188</f>
        <v>0</v>
      </c>
    </row>
    <row r="189" spans="1:4">
      <c r="A189" s="12">
        <v>43651</v>
      </c>
      <c r="B189" s="3">
        <v>96</v>
      </c>
      <c r="C189" s="3">
        <v>96</v>
      </c>
      <c r="D189" s="3">
        <f>C189-B189</f>
        <v>0</v>
      </c>
    </row>
    <row r="190" spans="1:4">
      <c r="A190" s="12">
        <v>43652</v>
      </c>
      <c r="B190" s="3">
        <v>96</v>
      </c>
      <c r="C190" s="3">
        <v>96</v>
      </c>
      <c r="D190" s="3">
        <f>C190-B190</f>
        <v>0</v>
      </c>
    </row>
    <row r="191" spans="1:4">
      <c r="A191" s="12">
        <v>43653</v>
      </c>
      <c r="B191" s="3">
        <v>96</v>
      </c>
      <c r="C191" s="3">
        <v>96</v>
      </c>
      <c r="D191" s="3">
        <f>C191-B191</f>
        <v>0</v>
      </c>
    </row>
    <row r="192" spans="1:4">
      <c r="A192" s="12">
        <v>43654</v>
      </c>
      <c r="B192" s="3">
        <v>96</v>
      </c>
      <c r="C192" s="3">
        <v>96</v>
      </c>
      <c r="D192" s="3">
        <f>C192-B192</f>
        <v>0</v>
      </c>
    </row>
    <row r="193" spans="1:4">
      <c r="A193" s="12">
        <v>43655</v>
      </c>
      <c r="B193" s="3">
        <v>96</v>
      </c>
      <c r="C193" s="3">
        <v>96</v>
      </c>
      <c r="D193" s="3">
        <f>C193-B193</f>
        <v>0</v>
      </c>
    </row>
    <row r="194" spans="1:4">
      <c r="A194" s="12">
        <v>43656</v>
      </c>
      <c r="B194" s="3">
        <v>96</v>
      </c>
      <c r="C194" s="3">
        <v>96</v>
      </c>
      <c r="D194" s="3">
        <f>C194-B194</f>
        <v>0</v>
      </c>
    </row>
    <row r="195" spans="1:4">
      <c r="A195" s="12">
        <v>43657</v>
      </c>
      <c r="B195" s="3">
        <v>96</v>
      </c>
      <c r="C195" s="3">
        <v>96</v>
      </c>
      <c r="D195" s="3">
        <f>C195-B195</f>
        <v>0</v>
      </c>
    </row>
    <row r="196" spans="1:4">
      <c r="A196" s="12">
        <v>43658</v>
      </c>
      <c r="B196" s="3">
        <v>96</v>
      </c>
      <c r="C196" s="3">
        <v>96</v>
      </c>
      <c r="D196" s="3">
        <f>C196-B196</f>
        <v>0</v>
      </c>
    </row>
    <row r="197" spans="1:4">
      <c r="A197" s="12">
        <v>43659</v>
      </c>
      <c r="B197" s="3">
        <v>96</v>
      </c>
      <c r="C197" s="3">
        <v>96</v>
      </c>
      <c r="D197" s="3">
        <f>C197-B197</f>
        <v>0</v>
      </c>
    </row>
    <row r="198" spans="1:4">
      <c r="A198" s="12">
        <v>43660</v>
      </c>
      <c r="B198" s="3">
        <v>96</v>
      </c>
      <c r="C198" s="3">
        <v>96</v>
      </c>
      <c r="D198" s="3">
        <f>C198-B198</f>
        <v>0</v>
      </c>
    </row>
    <row r="199" spans="1:4">
      <c r="A199" s="12">
        <v>43661</v>
      </c>
      <c r="B199" s="3">
        <v>96</v>
      </c>
      <c r="C199" s="3">
        <v>96</v>
      </c>
      <c r="D199" s="3">
        <f>C199-B199</f>
        <v>0</v>
      </c>
    </row>
    <row r="200" spans="1:4">
      <c r="A200" s="12">
        <v>43662</v>
      </c>
      <c r="B200" s="3">
        <v>96</v>
      </c>
      <c r="C200" s="3">
        <v>96</v>
      </c>
      <c r="D200" s="3">
        <f>C200-B200</f>
        <v>0</v>
      </c>
    </row>
    <row r="201" spans="1:4">
      <c r="A201" s="12">
        <v>43663</v>
      </c>
      <c r="B201" s="3">
        <v>96</v>
      </c>
      <c r="C201" s="3">
        <v>96</v>
      </c>
      <c r="D201" s="3">
        <f>C201-B201</f>
        <v>0</v>
      </c>
    </row>
    <row r="202" spans="1:4">
      <c r="A202" s="12">
        <v>43664</v>
      </c>
      <c r="B202" s="3">
        <v>96</v>
      </c>
      <c r="C202" s="3">
        <v>96</v>
      </c>
      <c r="D202" s="3">
        <f>C202-B202</f>
        <v>0</v>
      </c>
    </row>
    <row r="203" spans="1:4">
      <c r="A203" s="12">
        <v>43665</v>
      </c>
      <c r="B203" s="3">
        <v>96</v>
      </c>
      <c r="C203" s="3">
        <v>96</v>
      </c>
      <c r="D203" s="3">
        <f>C203-B203</f>
        <v>0</v>
      </c>
    </row>
    <row r="204" spans="1:4">
      <c r="A204" s="12">
        <v>43666</v>
      </c>
      <c r="B204" s="3">
        <v>96</v>
      </c>
      <c r="C204" s="3">
        <v>96</v>
      </c>
      <c r="D204" s="3">
        <f>C204-B204</f>
        <v>0</v>
      </c>
    </row>
    <row r="205" spans="1:4">
      <c r="A205" s="12">
        <v>43667</v>
      </c>
      <c r="B205" s="3">
        <v>96</v>
      </c>
      <c r="C205" s="3">
        <v>96</v>
      </c>
      <c r="D205" s="3">
        <f>C205-B205</f>
        <v>0</v>
      </c>
    </row>
    <row r="206" spans="1:4">
      <c r="A206" s="12">
        <v>43668</v>
      </c>
      <c r="B206" s="3">
        <v>96</v>
      </c>
      <c r="C206" s="3">
        <v>96</v>
      </c>
      <c r="D206" s="3">
        <f>C206-B206</f>
        <v>0</v>
      </c>
    </row>
    <row r="207" spans="1:4">
      <c r="A207" s="12">
        <v>43669</v>
      </c>
      <c r="B207" s="3">
        <v>96</v>
      </c>
      <c r="C207" s="3">
        <v>96</v>
      </c>
      <c r="D207" s="3">
        <f>C207-B207</f>
        <v>0</v>
      </c>
    </row>
    <row r="208" spans="1:4">
      <c r="A208" s="12">
        <v>43670</v>
      </c>
      <c r="B208" s="3">
        <v>96</v>
      </c>
      <c r="C208" s="3">
        <v>96</v>
      </c>
      <c r="D208" s="3">
        <f>C208-B208</f>
        <v>0</v>
      </c>
    </row>
    <row r="209" spans="1:4">
      <c r="A209" s="12">
        <v>43671</v>
      </c>
      <c r="B209" s="3">
        <v>96</v>
      </c>
      <c r="C209" s="3">
        <v>96</v>
      </c>
      <c r="D209" s="3">
        <f>C209-B209</f>
        <v>0</v>
      </c>
    </row>
    <row r="210" spans="1:4">
      <c r="A210" s="12">
        <v>43672</v>
      </c>
      <c r="B210" s="3">
        <v>96</v>
      </c>
      <c r="C210" s="3">
        <v>96</v>
      </c>
      <c r="D210" s="3">
        <f>C210-B210</f>
        <v>0</v>
      </c>
    </row>
    <row r="211" spans="1:4">
      <c r="A211" s="12">
        <v>43673</v>
      </c>
      <c r="B211" s="3">
        <v>96</v>
      </c>
      <c r="C211" s="3">
        <v>96</v>
      </c>
      <c r="D211" s="3">
        <f>C211-B211</f>
        <v>0</v>
      </c>
    </row>
    <row r="212" spans="1:4">
      <c r="A212" s="12">
        <v>43674</v>
      </c>
      <c r="B212" s="3">
        <v>96</v>
      </c>
      <c r="C212" s="3">
        <v>96</v>
      </c>
      <c r="D212" s="3">
        <f>C212-B212</f>
        <v>0</v>
      </c>
    </row>
    <row r="213" spans="1:4">
      <c r="A213" s="12">
        <v>43675</v>
      </c>
      <c r="B213" s="3">
        <v>96</v>
      </c>
      <c r="C213" s="3">
        <v>96</v>
      </c>
      <c r="D213" s="3">
        <f>C213-B213</f>
        <v>0</v>
      </c>
    </row>
    <row r="214" spans="1:4">
      <c r="A214" s="12">
        <v>43676</v>
      </c>
      <c r="B214" s="3">
        <v>96</v>
      </c>
      <c r="C214" s="3">
        <v>96</v>
      </c>
      <c r="D214" s="3">
        <f>C214-B214</f>
        <v>0</v>
      </c>
    </row>
    <row r="215" spans="1:4">
      <c r="A215" s="12">
        <v>43677</v>
      </c>
      <c r="B215" s="3">
        <v>96</v>
      </c>
      <c r="C215" s="3">
        <v>96</v>
      </c>
      <c r="D215" s="3">
        <f>C215-B215</f>
        <v>0</v>
      </c>
    </row>
    <row r="216" spans="1:4">
      <c r="A216" s="12">
        <v>43678</v>
      </c>
      <c r="B216" s="3">
        <v>96</v>
      </c>
      <c r="C216" s="3">
        <v>96</v>
      </c>
      <c r="D216" s="3">
        <f>C216-B216</f>
        <v>0</v>
      </c>
    </row>
    <row r="217" spans="1:4">
      <c r="A217" s="12">
        <v>43679</v>
      </c>
      <c r="B217" s="3">
        <v>96</v>
      </c>
      <c r="C217" s="3">
        <v>96</v>
      </c>
      <c r="D217" s="3">
        <f>C217-B217</f>
        <v>0</v>
      </c>
    </row>
    <row r="218" spans="1:4">
      <c r="A218" s="12">
        <v>43680</v>
      </c>
      <c r="B218" s="3">
        <v>96</v>
      </c>
      <c r="C218" s="3">
        <v>96</v>
      </c>
      <c r="D218" s="3">
        <f>C218-B218</f>
        <v>0</v>
      </c>
    </row>
    <row r="219" spans="1:4">
      <c r="A219" s="12">
        <v>43681</v>
      </c>
      <c r="B219" s="3">
        <v>96</v>
      </c>
      <c r="C219" s="3">
        <v>96</v>
      </c>
      <c r="D219" s="3">
        <f>C219-B219</f>
        <v>0</v>
      </c>
    </row>
    <row r="220" spans="1:4">
      <c r="A220" s="12">
        <v>43682</v>
      </c>
      <c r="B220" s="3">
        <v>96</v>
      </c>
      <c r="C220" s="3">
        <v>96</v>
      </c>
      <c r="D220" s="3">
        <f>C220-B220</f>
        <v>0</v>
      </c>
    </row>
    <row r="221" spans="1:4">
      <c r="A221" s="12">
        <v>43683</v>
      </c>
      <c r="B221" s="3">
        <v>96</v>
      </c>
      <c r="C221" s="3">
        <v>96</v>
      </c>
      <c r="D221" s="3">
        <f>C221-B221</f>
        <v>0</v>
      </c>
    </row>
    <row r="222" spans="1:4">
      <c r="A222" s="12">
        <v>43684</v>
      </c>
      <c r="B222" s="3">
        <v>96</v>
      </c>
      <c r="C222" s="3">
        <v>96</v>
      </c>
      <c r="D222" s="3">
        <f>C222-B222</f>
        <v>0</v>
      </c>
    </row>
    <row r="223" spans="1:4">
      <c r="A223" s="12">
        <v>43685</v>
      </c>
      <c r="B223" s="3">
        <v>96</v>
      </c>
      <c r="C223" s="3">
        <v>96</v>
      </c>
      <c r="D223" s="3">
        <f>C223-B223</f>
        <v>0</v>
      </c>
    </row>
    <row r="224" spans="1:4">
      <c r="A224" s="12">
        <v>43686</v>
      </c>
      <c r="B224" s="3">
        <v>96</v>
      </c>
      <c r="C224" s="3">
        <v>96</v>
      </c>
      <c r="D224" s="3">
        <f>C224-B224</f>
        <v>0</v>
      </c>
    </row>
    <row r="225" spans="1:4">
      <c r="A225" s="12">
        <v>43687</v>
      </c>
      <c r="B225" s="3">
        <v>96</v>
      </c>
      <c r="C225" s="3">
        <v>96</v>
      </c>
      <c r="D225" s="3">
        <f>C225-B225</f>
        <v>0</v>
      </c>
    </row>
    <row r="226" spans="1:4">
      <c r="A226" s="12">
        <v>43688</v>
      </c>
      <c r="B226" s="3">
        <v>96</v>
      </c>
      <c r="C226" s="3">
        <v>96</v>
      </c>
      <c r="D226" s="3">
        <f>C226-B226</f>
        <v>0</v>
      </c>
    </row>
    <row r="227" spans="1:4">
      <c r="A227" s="12">
        <v>43689</v>
      </c>
      <c r="B227" s="3">
        <v>96</v>
      </c>
      <c r="C227" s="3">
        <v>96</v>
      </c>
      <c r="D227" s="3">
        <f>C227-B227</f>
        <v>0</v>
      </c>
    </row>
    <row r="228" spans="1:4">
      <c r="A228" s="12">
        <v>43690</v>
      </c>
      <c r="B228" s="3">
        <v>96</v>
      </c>
      <c r="C228" s="3">
        <v>96</v>
      </c>
      <c r="D228" s="3">
        <f>C228-B228</f>
        <v>0</v>
      </c>
    </row>
    <row r="229" spans="1:4">
      <c r="A229" s="12">
        <v>43691</v>
      </c>
      <c r="B229" s="3">
        <v>96</v>
      </c>
      <c r="C229" s="3">
        <v>96</v>
      </c>
      <c r="D229" s="3">
        <f>C229-B229</f>
        <v>0</v>
      </c>
    </row>
    <row r="230" spans="1:4">
      <c r="A230" s="12">
        <v>43692</v>
      </c>
      <c r="B230" s="3">
        <v>96</v>
      </c>
      <c r="C230" s="3">
        <v>96</v>
      </c>
      <c r="D230" s="3">
        <f>C230-B230</f>
        <v>0</v>
      </c>
    </row>
    <row r="231" spans="1:4">
      <c r="A231" s="12">
        <v>43693</v>
      </c>
      <c r="B231" s="3">
        <v>96</v>
      </c>
      <c r="C231" s="3">
        <v>96</v>
      </c>
      <c r="D231" s="3">
        <f>C231-B231</f>
        <v>0</v>
      </c>
    </row>
    <row r="232" spans="1:4">
      <c r="A232" s="12">
        <v>43694</v>
      </c>
      <c r="B232" s="3">
        <v>96</v>
      </c>
      <c r="C232" s="3">
        <v>96</v>
      </c>
      <c r="D232" s="3">
        <f>C232-B232</f>
        <v>0</v>
      </c>
    </row>
    <row r="233" spans="1:4">
      <c r="A233" s="12">
        <v>43695</v>
      </c>
      <c r="B233" s="3">
        <v>96</v>
      </c>
      <c r="C233" s="3">
        <v>96</v>
      </c>
      <c r="D233" s="3">
        <f>C233-B233</f>
        <v>0</v>
      </c>
    </row>
    <row r="234" spans="1:4">
      <c r="A234" s="12">
        <v>43696</v>
      </c>
      <c r="B234" s="3">
        <v>96</v>
      </c>
      <c r="C234" s="3">
        <v>96</v>
      </c>
      <c r="D234" s="3">
        <f>C234-B234</f>
        <v>0</v>
      </c>
    </row>
    <row r="235" spans="1:4">
      <c r="A235" s="12">
        <v>43697</v>
      </c>
      <c r="B235" s="3">
        <v>96</v>
      </c>
      <c r="C235" s="3">
        <v>96</v>
      </c>
      <c r="D235" s="3">
        <f>C235-B235</f>
        <v>0</v>
      </c>
    </row>
    <row r="236" spans="1:4">
      <c r="A236" s="12">
        <v>43698</v>
      </c>
      <c r="B236" s="3">
        <v>96</v>
      </c>
      <c r="C236" s="3">
        <v>96</v>
      </c>
      <c r="D236" s="3">
        <f>C236-B236</f>
        <v>0</v>
      </c>
    </row>
    <row r="237" spans="1:4">
      <c r="A237" s="12">
        <v>43699</v>
      </c>
      <c r="B237" s="3">
        <v>96</v>
      </c>
      <c r="C237" s="3">
        <v>96</v>
      </c>
      <c r="D237" s="3">
        <f>C237-B237</f>
        <v>0</v>
      </c>
    </row>
    <row r="238" spans="1:4">
      <c r="A238" s="12">
        <v>43700</v>
      </c>
      <c r="B238" s="3">
        <v>96</v>
      </c>
      <c r="C238" s="3">
        <v>96</v>
      </c>
      <c r="D238" s="3">
        <f>C238-B238</f>
        <v>0</v>
      </c>
    </row>
    <row r="239" spans="1:4">
      <c r="A239" s="12">
        <v>43701</v>
      </c>
      <c r="B239" s="3">
        <v>96</v>
      </c>
      <c r="C239" s="3">
        <v>96</v>
      </c>
      <c r="D239" s="3">
        <f>C239-B239</f>
        <v>0</v>
      </c>
    </row>
    <row r="240" spans="1:4">
      <c r="A240" s="12">
        <v>43702</v>
      </c>
      <c r="B240" s="3">
        <v>96</v>
      </c>
      <c r="C240" s="3">
        <v>96</v>
      </c>
      <c r="D240" s="3">
        <f>C240-B240</f>
        <v>0</v>
      </c>
    </row>
    <row r="241" spans="1:4">
      <c r="A241" s="12">
        <v>43703</v>
      </c>
      <c r="B241" s="3">
        <v>96</v>
      </c>
      <c r="C241" s="3">
        <v>96</v>
      </c>
      <c r="D241" s="3">
        <f>C241-B241</f>
        <v>0</v>
      </c>
    </row>
    <row r="242" spans="1:4">
      <c r="A242" s="12">
        <v>43704</v>
      </c>
      <c r="B242" s="3">
        <v>96</v>
      </c>
      <c r="C242" s="3">
        <v>96</v>
      </c>
      <c r="D242" s="3">
        <f>C242-B242</f>
        <v>0</v>
      </c>
    </row>
    <row r="243" spans="1:4">
      <c r="A243" s="12">
        <v>43705</v>
      </c>
      <c r="B243" s="3">
        <v>96</v>
      </c>
      <c r="C243" s="3">
        <v>96</v>
      </c>
      <c r="D243" s="3">
        <f>C243-B243</f>
        <v>0</v>
      </c>
    </row>
    <row r="244" spans="1:4">
      <c r="A244" s="12">
        <v>43706</v>
      </c>
      <c r="B244" s="3">
        <v>96</v>
      </c>
      <c r="C244" s="3">
        <v>96</v>
      </c>
      <c r="D244" s="3">
        <f>C244-B244</f>
        <v>0</v>
      </c>
    </row>
    <row r="245" spans="1:4">
      <c r="A245" s="12">
        <v>43707</v>
      </c>
      <c r="B245" s="3">
        <v>96</v>
      </c>
      <c r="C245" s="3">
        <v>96</v>
      </c>
      <c r="D245" s="3">
        <f>C245-B245</f>
        <v>0</v>
      </c>
    </row>
    <row r="246" spans="1:4">
      <c r="A246" s="12">
        <v>43708</v>
      </c>
      <c r="B246" s="3">
        <v>96</v>
      </c>
      <c r="C246" s="3">
        <v>96</v>
      </c>
      <c r="D246" s="3">
        <f>C246-B246</f>
        <v>0</v>
      </c>
    </row>
    <row r="247" spans="1:4">
      <c r="A247" s="12">
        <v>43709</v>
      </c>
      <c r="B247" s="3">
        <v>96</v>
      </c>
      <c r="C247" s="3">
        <v>96</v>
      </c>
      <c r="D247" s="3">
        <f>C247-B247</f>
        <v>0</v>
      </c>
    </row>
    <row r="248" spans="1:4">
      <c r="A248" s="12">
        <v>43710</v>
      </c>
      <c r="B248" s="3">
        <v>96</v>
      </c>
      <c r="C248" s="3">
        <v>96</v>
      </c>
      <c r="D248" s="3">
        <f>C248-B248</f>
        <v>0</v>
      </c>
    </row>
    <row r="249" spans="1:4">
      <c r="A249" s="12">
        <v>43711</v>
      </c>
      <c r="B249" s="3">
        <v>96</v>
      </c>
      <c r="C249" s="3">
        <v>96</v>
      </c>
      <c r="D249" s="3">
        <f>C249-B249</f>
        <v>0</v>
      </c>
    </row>
    <row r="250" spans="1:4">
      <c r="A250" s="12">
        <v>43712</v>
      </c>
      <c r="B250" s="3">
        <v>96</v>
      </c>
      <c r="C250" s="3">
        <v>96</v>
      </c>
      <c r="D250" s="3">
        <f>C250-B250</f>
        <v>0</v>
      </c>
    </row>
    <row r="251" spans="1:4">
      <c r="A251" s="12">
        <v>43713</v>
      </c>
      <c r="B251" s="3">
        <v>96</v>
      </c>
      <c r="C251" s="3">
        <v>96</v>
      </c>
      <c r="D251" s="3">
        <f>C251-B251</f>
        <v>0</v>
      </c>
    </row>
    <row r="252" spans="1:4">
      <c r="A252" s="12">
        <v>43714</v>
      </c>
      <c r="B252" s="3">
        <v>96</v>
      </c>
      <c r="C252" s="3">
        <v>96</v>
      </c>
      <c r="D252" s="3">
        <f>C252-B252</f>
        <v>0</v>
      </c>
    </row>
    <row r="253" spans="1:4">
      <c r="A253" s="12">
        <v>43715</v>
      </c>
      <c r="B253" s="3">
        <v>96</v>
      </c>
      <c r="C253" s="3">
        <v>96</v>
      </c>
      <c r="D253" s="3">
        <f>C253-B253</f>
        <v>0</v>
      </c>
    </row>
    <row r="254" spans="1:4">
      <c r="A254" s="12">
        <v>43716</v>
      </c>
      <c r="B254" s="3">
        <v>96</v>
      </c>
      <c r="C254" s="3">
        <v>96</v>
      </c>
      <c r="D254" s="3">
        <f>C254-B254</f>
        <v>0</v>
      </c>
    </row>
    <row r="255" spans="1:4">
      <c r="A255" s="12">
        <v>43717</v>
      </c>
      <c r="B255" s="3">
        <v>96</v>
      </c>
      <c r="C255" s="3">
        <v>96</v>
      </c>
      <c r="D255" s="3">
        <f>C255-B255</f>
        <v>0</v>
      </c>
    </row>
    <row r="256" spans="1:4">
      <c r="A256" s="12">
        <v>43718</v>
      </c>
      <c r="B256" s="3">
        <v>96</v>
      </c>
      <c r="C256" s="3">
        <v>96</v>
      </c>
      <c r="D256" s="3">
        <f>C256-B256</f>
        <v>0</v>
      </c>
    </row>
    <row r="257" spans="1:4">
      <c r="A257" s="12">
        <v>43719</v>
      </c>
      <c r="B257" s="3">
        <v>96</v>
      </c>
      <c r="C257" s="3">
        <v>96</v>
      </c>
      <c r="D257" s="3">
        <f>C257-B257</f>
        <v>0</v>
      </c>
    </row>
    <row r="258" spans="1:4">
      <c r="A258" s="12">
        <v>43720</v>
      </c>
      <c r="B258" s="3">
        <v>96</v>
      </c>
      <c r="C258" s="3">
        <v>96</v>
      </c>
      <c r="D258" s="3">
        <f>C258-B258</f>
        <v>0</v>
      </c>
    </row>
    <row r="259" spans="1:4">
      <c r="A259" s="12">
        <v>43721</v>
      </c>
      <c r="B259" s="3">
        <v>96</v>
      </c>
      <c r="C259" s="3">
        <v>96</v>
      </c>
      <c r="D259" s="3">
        <f>C259-B259</f>
        <v>0</v>
      </c>
    </row>
    <row r="260" spans="1:4">
      <c r="A260" s="12">
        <v>43722</v>
      </c>
      <c r="B260" s="3">
        <v>96</v>
      </c>
      <c r="C260" s="3">
        <v>96</v>
      </c>
      <c r="D260" s="3">
        <f>C260-B260</f>
        <v>0</v>
      </c>
    </row>
    <row r="261" spans="1:4">
      <c r="A261" s="12">
        <v>43723</v>
      </c>
      <c r="B261" s="3">
        <v>96</v>
      </c>
      <c r="C261" s="3">
        <v>96</v>
      </c>
      <c r="D261" s="3">
        <f>C261-B261</f>
        <v>0</v>
      </c>
    </row>
    <row r="262" spans="1:4">
      <c r="A262" s="12">
        <v>43724</v>
      </c>
      <c r="B262" s="3">
        <v>96</v>
      </c>
      <c r="C262" s="3">
        <v>96</v>
      </c>
      <c r="D262" s="3">
        <f>C262-B262</f>
        <v>0</v>
      </c>
    </row>
    <row r="263" spans="1:4">
      <c r="A263" s="12">
        <v>43725</v>
      </c>
      <c r="B263" s="3">
        <v>96</v>
      </c>
      <c r="C263" s="3">
        <v>96</v>
      </c>
      <c r="D263" s="3">
        <f>C263-B263</f>
        <v>0</v>
      </c>
    </row>
    <row r="264" spans="1:4">
      <c r="A264" s="12">
        <v>43726</v>
      </c>
      <c r="B264" s="3">
        <v>96</v>
      </c>
      <c r="C264" s="3">
        <v>96</v>
      </c>
      <c r="D264" s="3">
        <f>C264-B264</f>
        <v>0</v>
      </c>
    </row>
    <row r="265" spans="1:4">
      <c r="A265" s="12">
        <v>43727</v>
      </c>
      <c r="B265" s="3">
        <v>96</v>
      </c>
      <c r="C265" s="3">
        <v>96</v>
      </c>
      <c r="D265" s="3">
        <f>C265-B265</f>
        <v>0</v>
      </c>
    </row>
    <row r="266" spans="1:4">
      <c r="A266" s="12">
        <v>43728</v>
      </c>
      <c r="B266" s="3">
        <v>96</v>
      </c>
      <c r="C266" s="3">
        <v>96</v>
      </c>
      <c r="D266" s="3">
        <f>C266-B266</f>
        <v>0</v>
      </c>
    </row>
    <row r="267" spans="1:4">
      <c r="A267" s="12">
        <v>43729</v>
      </c>
      <c r="B267" s="3">
        <v>96</v>
      </c>
      <c r="C267" s="3">
        <v>96</v>
      </c>
      <c r="D267" s="3">
        <f>C267-B267</f>
        <v>0</v>
      </c>
    </row>
    <row r="268" spans="1:4">
      <c r="A268" s="12">
        <v>43730</v>
      </c>
      <c r="B268" s="3">
        <v>96</v>
      </c>
      <c r="C268" s="3">
        <v>96</v>
      </c>
      <c r="D268" s="3">
        <f>C268-B268</f>
        <v>0</v>
      </c>
    </row>
    <row r="269" spans="1:4">
      <c r="A269" s="12">
        <v>43731</v>
      </c>
      <c r="B269" s="3">
        <v>96</v>
      </c>
      <c r="C269" s="3">
        <v>96</v>
      </c>
      <c r="D269" s="3">
        <f>C269-B269</f>
        <v>0</v>
      </c>
    </row>
    <row r="270" spans="1:4">
      <c r="A270" s="12">
        <v>43732</v>
      </c>
      <c r="B270" s="3">
        <v>96</v>
      </c>
      <c r="C270" s="3">
        <v>96</v>
      </c>
      <c r="D270" s="3">
        <f>C270-B270</f>
        <v>0</v>
      </c>
    </row>
    <row r="271" spans="1:4">
      <c r="A271" s="12">
        <v>43733</v>
      </c>
      <c r="B271" s="3">
        <v>96</v>
      </c>
      <c r="C271" s="3">
        <v>96</v>
      </c>
      <c r="D271" s="3">
        <f>C271-B271</f>
        <v>0</v>
      </c>
    </row>
    <row r="272" spans="1:4">
      <c r="A272" s="12">
        <v>43734</v>
      </c>
      <c r="B272" s="3">
        <v>96</v>
      </c>
      <c r="C272" s="3">
        <v>96</v>
      </c>
      <c r="D272" s="3">
        <f>C272-B272</f>
        <v>0</v>
      </c>
    </row>
    <row r="273" spans="1:4">
      <c r="A273" s="12">
        <v>43735</v>
      </c>
      <c r="B273" s="3">
        <v>96</v>
      </c>
      <c r="C273" s="3">
        <v>96</v>
      </c>
      <c r="D273" s="3">
        <f>C273-B273</f>
        <v>0</v>
      </c>
    </row>
    <row r="274" spans="1:4">
      <c r="A274" s="12">
        <v>43736</v>
      </c>
      <c r="B274" s="3">
        <v>96</v>
      </c>
      <c r="C274" s="3">
        <v>96</v>
      </c>
      <c r="D274" s="3">
        <f>C274-B274</f>
        <v>0</v>
      </c>
    </row>
    <row r="275" spans="1:4">
      <c r="A275" s="12">
        <v>43737</v>
      </c>
      <c r="B275" s="3">
        <v>96</v>
      </c>
      <c r="C275" s="3">
        <v>96</v>
      </c>
      <c r="D275" s="3">
        <f>C275-B275</f>
        <v>0</v>
      </c>
    </row>
    <row r="276" spans="1:4">
      <c r="A276" s="12">
        <v>43738</v>
      </c>
      <c r="B276" s="3">
        <v>96</v>
      </c>
      <c r="C276" s="3">
        <v>96</v>
      </c>
      <c r="D276" s="3">
        <f>C276-B276</f>
        <v>0</v>
      </c>
    </row>
    <row r="277" spans="1:4">
      <c r="A277" s="12">
        <v>43739</v>
      </c>
      <c r="B277" s="3">
        <v>96</v>
      </c>
      <c r="C277" s="3">
        <v>96</v>
      </c>
      <c r="D277" s="3">
        <f>C277-B277</f>
        <v>0</v>
      </c>
    </row>
    <row r="278" spans="1:4">
      <c r="A278" s="12">
        <v>43740</v>
      </c>
      <c r="B278" s="3">
        <v>96</v>
      </c>
      <c r="C278" s="3">
        <v>96</v>
      </c>
      <c r="D278" s="3">
        <f>C278-B278</f>
        <v>0</v>
      </c>
    </row>
    <row r="279" spans="1:4">
      <c r="A279" s="12">
        <v>43741</v>
      </c>
      <c r="B279" s="3">
        <v>96</v>
      </c>
      <c r="C279" s="3">
        <v>96</v>
      </c>
      <c r="D279" s="3">
        <f>C279-B279</f>
        <v>0</v>
      </c>
    </row>
    <row r="280" spans="1:4">
      <c r="A280" s="12">
        <v>43742</v>
      </c>
      <c r="B280" s="3">
        <v>96</v>
      </c>
      <c r="C280" s="3">
        <v>96</v>
      </c>
      <c r="D280" s="3">
        <f>C280-B280</f>
        <v>0</v>
      </c>
    </row>
    <row r="281" spans="1:4">
      <c r="A281" s="12">
        <v>43743</v>
      </c>
      <c r="B281" s="3">
        <v>96</v>
      </c>
      <c r="C281" s="3">
        <v>96</v>
      </c>
      <c r="D281" s="3">
        <f>C281-B281</f>
        <v>0</v>
      </c>
    </row>
    <row r="282" spans="1:4">
      <c r="A282" s="12">
        <v>43744</v>
      </c>
      <c r="B282" s="3">
        <v>96</v>
      </c>
      <c r="C282" s="3">
        <v>96</v>
      </c>
      <c r="D282" s="3">
        <f>C282-B282</f>
        <v>0</v>
      </c>
    </row>
    <row r="283" spans="1:4">
      <c r="A283" s="12">
        <v>43745</v>
      </c>
      <c r="B283" s="3">
        <v>96</v>
      </c>
      <c r="C283" s="3">
        <v>96</v>
      </c>
      <c r="D283" s="3">
        <f>C283-B283</f>
        <v>0</v>
      </c>
    </row>
    <row r="284" spans="1:4">
      <c r="A284" s="12">
        <v>43746</v>
      </c>
      <c r="B284" s="3">
        <v>96</v>
      </c>
      <c r="C284" s="3">
        <v>96</v>
      </c>
      <c r="D284" s="3">
        <f>C284-B284</f>
        <v>0</v>
      </c>
    </row>
    <row r="285" spans="1:4">
      <c r="A285" s="12">
        <v>43747</v>
      </c>
      <c r="B285" s="3">
        <v>96</v>
      </c>
      <c r="C285" s="3">
        <v>96</v>
      </c>
      <c r="D285" s="3">
        <f>C285-B285</f>
        <v>0</v>
      </c>
    </row>
    <row r="286" spans="1:4">
      <c r="A286" s="12">
        <v>43748</v>
      </c>
      <c r="B286" s="3">
        <v>96</v>
      </c>
      <c r="C286" s="3">
        <v>96</v>
      </c>
      <c r="D286" s="3">
        <f>C286-B286</f>
        <v>0</v>
      </c>
    </row>
    <row r="287" spans="1:4">
      <c r="A287" s="12">
        <v>43749</v>
      </c>
      <c r="B287" s="3">
        <v>96</v>
      </c>
      <c r="C287" s="3">
        <v>96</v>
      </c>
      <c r="D287" s="3">
        <f>C287-B287</f>
        <v>0</v>
      </c>
    </row>
    <row r="288" spans="1:4">
      <c r="A288" s="12">
        <v>43750</v>
      </c>
      <c r="B288" s="3">
        <v>96</v>
      </c>
      <c r="C288" s="3">
        <v>96</v>
      </c>
      <c r="D288" s="3">
        <f>C288-B288</f>
        <v>0</v>
      </c>
    </row>
    <row r="289" spans="1:4">
      <c r="A289" s="12">
        <v>43751</v>
      </c>
      <c r="B289" s="3">
        <v>96</v>
      </c>
      <c r="C289" s="3">
        <v>96</v>
      </c>
      <c r="D289" s="3">
        <f>C289-B289</f>
        <v>0</v>
      </c>
    </row>
    <row r="290" spans="1:4">
      <c r="A290" s="12">
        <v>43752</v>
      </c>
      <c r="B290" s="3">
        <v>96</v>
      </c>
      <c r="C290" s="3">
        <v>96</v>
      </c>
      <c r="D290" s="3">
        <f>C290-B290</f>
        <v>0</v>
      </c>
    </row>
    <row r="291" spans="1:4">
      <c r="A291" s="12">
        <v>43753</v>
      </c>
      <c r="B291" s="3">
        <v>96</v>
      </c>
      <c r="C291" s="3">
        <v>96</v>
      </c>
      <c r="D291" s="3">
        <f>C291-B291</f>
        <v>0</v>
      </c>
    </row>
    <row r="292" spans="1:4">
      <c r="A292" s="12">
        <v>43754</v>
      </c>
      <c r="B292" s="3">
        <v>96</v>
      </c>
      <c r="C292" s="3">
        <v>96</v>
      </c>
      <c r="D292" s="3">
        <f>C292-B292</f>
        <v>0</v>
      </c>
    </row>
    <row r="293" spans="1:4">
      <c r="A293" s="12">
        <v>43755</v>
      </c>
      <c r="B293" s="3">
        <v>96</v>
      </c>
      <c r="C293" s="3">
        <v>96</v>
      </c>
      <c r="D293" s="3">
        <f>C293-B293</f>
        <v>0</v>
      </c>
    </row>
    <row r="294" spans="1:4">
      <c r="A294" s="12">
        <v>43756</v>
      </c>
      <c r="B294" s="3">
        <v>96</v>
      </c>
      <c r="C294" s="3">
        <v>96</v>
      </c>
      <c r="D294" s="3">
        <f>C294-B294</f>
        <v>0</v>
      </c>
    </row>
    <row r="295" spans="1:4">
      <c r="A295" s="12">
        <v>43757</v>
      </c>
      <c r="B295" s="3">
        <v>96</v>
      </c>
      <c r="C295" s="3">
        <v>96</v>
      </c>
      <c r="D295" s="3">
        <f>C295-B295</f>
        <v>0</v>
      </c>
    </row>
    <row r="296" spans="1:4">
      <c r="A296" s="12">
        <v>43758</v>
      </c>
      <c r="B296" s="3">
        <v>96</v>
      </c>
      <c r="C296" s="3">
        <v>96</v>
      </c>
      <c r="D296" s="3">
        <f>C296-B296</f>
        <v>0</v>
      </c>
    </row>
    <row r="297" spans="1:4">
      <c r="A297" s="12">
        <v>43759</v>
      </c>
      <c r="B297" s="3">
        <v>96</v>
      </c>
      <c r="C297" s="3">
        <v>96</v>
      </c>
      <c r="D297" s="3">
        <f>C297-B297</f>
        <v>0</v>
      </c>
    </row>
    <row r="298" spans="1:4">
      <c r="A298" s="12">
        <v>43760</v>
      </c>
      <c r="B298" s="3">
        <v>96</v>
      </c>
      <c r="C298" s="3">
        <v>96</v>
      </c>
      <c r="D298" s="3">
        <f>C298-B298</f>
        <v>0</v>
      </c>
    </row>
    <row r="299" spans="1:4">
      <c r="A299" s="12">
        <v>43761</v>
      </c>
      <c r="B299" s="3">
        <v>96</v>
      </c>
      <c r="C299" s="3">
        <v>96</v>
      </c>
      <c r="D299" s="3">
        <f>C299-B299</f>
        <v>0</v>
      </c>
    </row>
    <row r="300" spans="1:4">
      <c r="A300" s="12">
        <v>43762</v>
      </c>
      <c r="B300" s="3">
        <v>96</v>
      </c>
      <c r="C300" s="3">
        <v>96</v>
      </c>
      <c r="D300" s="3">
        <f>C300-B300</f>
        <v>0</v>
      </c>
    </row>
    <row r="301" spans="1:4">
      <c r="A301" s="12">
        <v>43763</v>
      </c>
      <c r="B301" s="3">
        <v>96</v>
      </c>
      <c r="C301" s="3">
        <v>96</v>
      </c>
      <c r="D301" s="3">
        <f>C301-B301</f>
        <v>0</v>
      </c>
    </row>
    <row r="302" spans="1:4">
      <c r="A302" s="12">
        <v>43764</v>
      </c>
      <c r="B302" s="3">
        <v>96</v>
      </c>
      <c r="C302" s="3">
        <v>96</v>
      </c>
      <c r="D302" s="3">
        <f>C302-B302</f>
        <v>0</v>
      </c>
    </row>
    <row r="303" spans="1:4">
      <c r="A303" s="12">
        <v>43765</v>
      </c>
      <c r="B303" s="3">
        <v>100</v>
      </c>
      <c r="C303" s="3">
        <v>100</v>
      </c>
      <c r="D303" s="3">
        <f>C303-B303</f>
        <v>0</v>
      </c>
    </row>
    <row r="304" spans="1:4">
      <c r="A304" s="12">
        <v>43766</v>
      </c>
      <c r="B304" s="3">
        <v>96</v>
      </c>
      <c r="C304" s="3">
        <v>96</v>
      </c>
      <c r="D304" s="3">
        <f>C304-B304</f>
        <v>0</v>
      </c>
    </row>
    <row r="305" spans="1:4">
      <c r="A305" s="12">
        <v>43767</v>
      </c>
      <c r="B305" s="3">
        <v>96</v>
      </c>
      <c r="C305" s="3">
        <v>96</v>
      </c>
      <c r="D305" s="3">
        <f>C305-B305</f>
        <v>0</v>
      </c>
    </row>
    <row r="306" spans="1:4">
      <c r="A306" s="12">
        <v>43768</v>
      </c>
      <c r="B306" s="3">
        <v>96</v>
      </c>
      <c r="C306" s="3">
        <v>96</v>
      </c>
      <c r="D306" s="3">
        <f>C306-B306</f>
        <v>0</v>
      </c>
    </row>
    <row r="307" spans="1:4">
      <c r="A307" s="12">
        <v>43769</v>
      </c>
      <c r="B307" s="3">
        <v>96</v>
      </c>
      <c r="C307" s="3">
        <v>96</v>
      </c>
      <c r="D307" s="3">
        <f>C307-B307</f>
        <v>0</v>
      </c>
    </row>
    <row r="308" spans="1:4">
      <c r="A308" s="12">
        <v>43770</v>
      </c>
      <c r="B308" s="3">
        <v>96</v>
      </c>
      <c r="C308" s="3">
        <v>96</v>
      </c>
      <c r="D308" s="3">
        <f>C308-B308</f>
        <v>0</v>
      </c>
    </row>
    <row r="309" spans="1:4">
      <c r="A309" s="12">
        <v>43771</v>
      </c>
      <c r="B309" s="3">
        <v>96</v>
      </c>
      <c r="C309" s="3">
        <v>96</v>
      </c>
      <c r="D309" s="3">
        <f>C309-B309</f>
        <v>0</v>
      </c>
    </row>
    <row r="310" spans="1:4">
      <c r="A310" s="12">
        <v>43772</v>
      </c>
      <c r="B310" s="3">
        <v>96</v>
      </c>
      <c r="C310" s="3">
        <v>96</v>
      </c>
      <c r="D310" s="3">
        <f>C310-B310</f>
        <v>0</v>
      </c>
    </row>
    <row r="311" spans="1:4">
      <c r="A311" s="12">
        <v>43773</v>
      </c>
      <c r="B311" s="3">
        <v>96</v>
      </c>
      <c r="C311" s="3">
        <v>96</v>
      </c>
      <c r="D311" s="3">
        <f>C311-B311</f>
        <v>0</v>
      </c>
    </row>
    <row r="312" spans="1:4">
      <c r="A312" s="12">
        <v>43774</v>
      </c>
      <c r="B312" s="3">
        <v>96</v>
      </c>
      <c r="C312" s="3">
        <v>96</v>
      </c>
      <c r="D312" s="3">
        <f>C312-B312</f>
        <v>0</v>
      </c>
    </row>
    <row r="313" spans="1:4">
      <c r="A313" s="12">
        <v>43775</v>
      </c>
      <c r="B313" s="3">
        <v>96</v>
      </c>
      <c r="C313" s="3">
        <v>96</v>
      </c>
      <c r="D313" s="3">
        <f>C313-B313</f>
        <v>0</v>
      </c>
    </row>
    <row r="314" spans="1:4">
      <c r="A314" s="12">
        <v>43776</v>
      </c>
      <c r="B314" s="3">
        <v>96</v>
      </c>
      <c r="C314" s="3">
        <v>96</v>
      </c>
      <c r="D314" s="3">
        <f>C314-B314</f>
        <v>0</v>
      </c>
    </row>
    <row r="315" spans="1:4">
      <c r="A315" s="12">
        <v>43777</v>
      </c>
      <c r="B315" s="3">
        <v>96</v>
      </c>
      <c r="C315" s="3">
        <v>96</v>
      </c>
      <c r="D315" s="3">
        <f>C315-B315</f>
        <v>0</v>
      </c>
    </row>
    <row r="316" spans="1:4">
      <c r="A316" s="12">
        <v>43778</v>
      </c>
      <c r="B316" s="3">
        <v>96</v>
      </c>
      <c r="C316" s="3">
        <v>96</v>
      </c>
      <c r="D316" s="3">
        <f>C316-B316</f>
        <v>0</v>
      </c>
    </row>
    <row r="317" spans="1:4">
      <c r="A317" s="12">
        <v>43779</v>
      </c>
      <c r="B317" s="3">
        <v>96</v>
      </c>
      <c r="C317" s="3">
        <v>96</v>
      </c>
      <c r="D317" s="3">
        <f>C317-B317</f>
        <v>0</v>
      </c>
    </row>
    <row r="318" spans="1:4">
      <c r="A318" s="12">
        <v>43780</v>
      </c>
      <c r="B318" s="3">
        <v>96</v>
      </c>
      <c r="C318" s="3">
        <v>96</v>
      </c>
      <c r="D318" s="3">
        <f>C318-B318</f>
        <v>0</v>
      </c>
    </row>
    <row r="319" spans="1:4">
      <c r="A319" s="12">
        <v>43781</v>
      </c>
      <c r="B319" s="3">
        <v>96</v>
      </c>
      <c r="C319" s="3">
        <v>96</v>
      </c>
      <c r="D319" s="3">
        <f>C319-B319</f>
        <v>0</v>
      </c>
    </row>
    <row r="320" spans="1:4">
      <c r="A320" s="12">
        <v>43782</v>
      </c>
      <c r="B320" s="3">
        <v>96</v>
      </c>
      <c r="C320" s="3">
        <v>96</v>
      </c>
      <c r="D320" s="3">
        <f>C320-B320</f>
        <v>0</v>
      </c>
    </row>
    <row r="321" spans="1:4">
      <c r="A321" s="12">
        <v>43783</v>
      </c>
      <c r="B321" s="3">
        <v>96</v>
      </c>
      <c r="C321" s="3">
        <v>96</v>
      </c>
      <c r="D321" s="3">
        <f>C321-B321</f>
        <v>0</v>
      </c>
    </row>
    <row r="322" spans="1:4">
      <c r="A322" s="12">
        <v>43784</v>
      </c>
      <c r="B322" s="3">
        <v>96</v>
      </c>
      <c r="C322" s="3">
        <v>96</v>
      </c>
      <c r="D322" s="3">
        <f>C322-B322</f>
        <v>0</v>
      </c>
    </row>
    <row r="323" spans="1:4">
      <c r="A323" s="12">
        <v>43785</v>
      </c>
      <c r="B323" s="3">
        <v>96</v>
      </c>
      <c r="C323" s="3">
        <v>96</v>
      </c>
      <c r="D323" s="3">
        <f>C323-B323</f>
        <v>0</v>
      </c>
    </row>
    <row r="324" spans="1:4">
      <c r="A324" s="12">
        <v>43786</v>
      </c>
      <c r="B324" s="3">
        <v>96</v>
      </c>
      <c r="C324" s="3">
        <v>96</v>
      </c>
      <c r="D324" s="3">
        <f>C324-B324</f>
        <v>0</v>
      </c>
    </row>
    <row r="325" spans="1:4">
      <c r="A325" s="12">
        <v>43787</v>
      </c>
      <c r="B325" s="3">
        <v>96</v>
      </c>
      <c r="C325" s="3">
        <v>96</v>
      </c>
      <c r="D325" s="3">
        <f>C325-B325</f>
        <v>0</v>
      </c>
    </row>
    <row r="326" spans="1:4">
      <c r="A326" s="12">
        <v>43788</v>
      </c>
      <c r="B326" s="3">
        <v>96</v>
      </c>
      <c r="C326" s="3">
        <v>96</v>
      </c>
      <c r="D326" s="3">
        <f>C326-B326</f>
        <v>0</v>
      </c>
    </row>
    <row r="327" spans="1:4">
      <c r="A327" s="12">
        <v>43789</v>
      </c>
      <c r="B327" s="3">
        <v>96</v>
      </c>
      <c r="C327" s="3">
        <v>96</v>
      </c>
      <c r="D327" s="3">
        <f>C327-B327</f>
        <v>0</v>
      </c>
    </row>
    <row r="328" spans="1:4">
      <c r="A328" s="12">
        <v>43790</v>
      </c>
      <c r="B328" s="3">
        <v>96</v>
      </c>
      <c r="C328" s="3">
        <v>96</v>
      </c>
      <c r="D328" s="3">
        <f>C328-B328</f>
        <v>0</v>
      </c>
    </row>
    <row r="329" spans="1:4">
      <c r="A329" s="12">
        <v>43791</v>
      </c>
      <c r="B329" s="3">
        <v>96</v>
      </c>
      <c r="C329" s="3">
        <v>96</v>
      </c>
      <c r="D329" s="3">
        <f>C329-B329</f>
        <v>0</v>
      </c>
    </row>
    <row r="330" spans="1:4">
      <c r="A330" s="12">
        <v>43792</v>
      </c>
      <c r="B330" s="3">
        <v>96</v>
      </c>
      <c r="C330" s="3">
        <v>96</v>
      </c>
      <c r="D330" s="3">
        <f>C330-B330</f>
        <v>0</v>
      </c>
    </row>
    <row r="331" spans="1:4">
      <c r="A331" s="12">
        <v>43793</v>
      </c>
      <c r="B331" s="3">
        <v>96</v>
      </c>
      <c r="C331" s="3">
        <v>96</v>
      </c>
      <c r="D331" s="3">
        <f>C331-B331</f>
        <v>0</v>
      </c>
    </row>
    <row r="332" spans="1:4">
      <c r="A332" s="12">
        <v>43794</v>
      </c>
      <c r="B332" s="3">
        <v>96</v>
      </c>
      <c r="C332" s="3">
        <v>96</v>
      </c>
      <c r="D332" s="3">
        <f>C332-B332</f>
        <v>0</v>
      </c>
    </row>
    <row r="333" spans="1:4">
      <c r="A333" s="12">
        <v>43795</v>
      </c>
      <c r="B333" s="3">
        <v>96</v>
      </c>
      <c r="C333" s="3">
        <v>96</v>
      </c>
      <c r="D333" s="3">
        <f>C333-B333</f>
        <v>0</v>
      </c>
    </row>
    <row r="334" spans="1:4">
      <c r="A334" s="12">
        <v>43796</v>
      </c>
      <c r="B334" s="3">
        <v>96</v>
      </c>
      <c r="C334" s="3">
        <v>96</v>
      </c>
      <c r="D334" s="3">
        <f>C334-B334</f>
        <v>0</v>
      </c>
    </row>
    <row r="335" spans="1:4">
      <c r="A335" s="12">
        <v>43797</v>
      </c>
      <c r="B335" s="3">
        <v>96</v>
      </c>
      <c r="C335" s="3">
        <v>96</v>
      </c>
      <c r="D335" s="3">
        <f>C335-B335</f>
        <v>0</v>
      </c>
    </row>
    <row r="336" spans="1:4">
      <c r="A336" s="12">
        <v>43798</v>
      </c>
      <c r="B336" s="3">
        <v>96</v>
      </c>
      <c r="C336" s="3">
        <v>96</v>
      </c>
      <c r="D336" s="3">
        <f>C336-B336</f>
        <v>0</v>
      </c>
    </row>
    <row r="337" spans="1:4">
      <c r="A337" s="12">
        <v>43799</v>
      </c>
      <c r="B337" s="3">
        <v>96</v>
      </c>
      <c r="C337" s="3">
        <v>96</v>
      </c>
      <c r="D337" s="3">
        <f>C337-B337</f>
        <v>0</v>
      </c>
    </row>
    <row r="338" spans="1:4">
      <c r="A338" s="12">
        <v>43800</v>
      </c>
      <c r="B338" s="3">
        <v>96</v>
      </c>
      <c r="C338" s="3">
        <v>96</v>
      </c>
      <c r="D338" s="3">
        <f>C338-B338</f>
        <v>0</v>
      </c>
    </row>
    <row r="339" spans="1:4">
      <c r="A339" s="12">
        <v>43801</v>
      </c>
      <c r="B339" s="3">
        <v>96</v>
      </c>
      <c r="C339" s="3">
        <v>96</v>
      </c>
      <c r="D339" s="3">
        <f>C339-B339</f>
        <v>0</v>
      </c>
    </row>
    <row r="340" spans="1:4">
      <c r="A340" s="12">
        <v>43802</v>
      </c>
      <c r="B340" s="3">
        <v>96</v>
      </c>
      <c r="C340" s="3">
        <v>96</v>
      </c>
      <c r="D340" s="3">
        <f>C340-B340</f>
        <v>0</v>
      </c>
    </row>
    <row r="341" spans="1:4">
      <c r="A341" s="12">
        <v>43803</v>
      </c>
      <c r="B341" s="3">
        <v>96</v>
      </c>
      <c r="C341" s="3">
        <v>96</v>
      </c>
      <c r="D341" s="3">
        <f>C341-B341</f>
        <v>0</v>
      </c>
    </row>
    <row r="342" spans="1:4">
      <c r="A342" s="12">
        <v>43804</v>
      </c>
      <c r="B342" s="3">
        <v>96</v>
      </c>
      <c r="C342" s="3">
        <v>96</v>
      </c>
      <c r="D342" s="3">
        <f>C342-B342</f>
        <v>0</v>
      </c>
    </row>
    <row r="343" spans="1:4">
      <c r="A343" s="12">
        <v>43805</v>
      </c>
      <c r="B343" s="3">
        <v>96</v>
      </c>
      <c r="C343" s="3">
        <v>96</v>
      </c>
      <c r="D343" s="3">
        <f>C343-B343</f>
        <v>0</v>
      </c>
    </row>
    <row r="344" spans="1:4">
      <c r="A344" s="12">
        <v>43806</v>
      </c>
      <c r="B344" s="3">
        <v>96</v>
      </c>
      <c r="C344" s="3">
        <v>96</v>
      </c>
      <c r="D344" s="3">
        <f>C344-B344</f>
        <v>0</v>
      </c>
    </row>
    <row r="345" spans="1:4">
      <c r="A345" s="12">
        <v>43807</v>
      </c>
      <c r="B345" s="3">
        <v>96</v>
      </c>
      <c r="C345" s="3">
        <v>96</v>
      </c>
      <c r="D345" s="3">
        <f>C345-B345</f>
        <v>0</v>
      </c>
    </row>
    <row r="346" spans="1:4">
      <c r="A346" s="12">
        <v>43808</v>
      </c>
      <c r="B346" s="3">
        <v>96</v>
      </c>
      <c r="C346" s="3">
        <v>96</v>
      </c>
      <c r="D346" s="3">
        <f>C346-B346</f>
        <v>0</v>
      </c>
    </row>
    <row r="347" spans="1:4">
      <c r="A347" s="12">
        <v>43809</v>
      </c>
      <c r="B347" s="3">
        <v>96</v>
      </c>
      <c r="C347" s="3">
        <v>96</v>
      </c>
      <c r="D347" s="3">
        <f>C347-B347</f>
        <v>0</v>
      </c>
    </row>
    <row r="348" spans="1:4">
      <c r="A348" s="12">
        <v>43810</v>
      </c>
      <c r="B348" s="3">
        <v>96</v>
      </c>
      <c r="C348" s="3">
        <v>96</v>
      </c>
      <c r="D348" s="3">
        <f>C348-B348</f>
        <v>0</v>
      </c>
    </row>
    <row r="349" spans="1:4">
      <c r="A349" s="12">
        <v>43811</v>
      </c>
      <c r="B349" s="3">
        <v>96</v>
      </c>
      <c r="C349" s="3">
        <v>96</v>
      </c>
      <c r="D349" s="3">
        <f>C349-B349</f>
        <v>0</v>
      </c>
    </row>
    <row r="350" spans="1:4">
      <c r="A350" s="12">
        <v>43812</v>
      </c>
      <c r="B350" s="3">
        <v>96</v>
      </c>
      <c r="C350" s="3">
        <v>96</v>
      </c>
      <c r="D350" s="3">
        <f>C350-B350</f>
        <v>0</v>
      </c>
    </row>
    <row r="351" spans="1:4">
      <c r="A351" s="12">
        <v>43813</v>
      </c>
      <c r="B351" s="3">
        <v>96</v>
      </c>
      <c r="C351" s="3">
        <v>96</v>
      </c>
      <c r="D351" s="3">
        <f>C351-B351</f>
        <v>0</v>
      </c>
    </row>
    <row r="352" spans="1:4">
      <c r="A352" s="12">
        <v>43814</v>
      </c>
      <c r="B352" s="3">
        <v>96</v>
      </c>
      <c r="C352" s="3">
        <v>96</v>
      </c>
      <c r="D352" s="3">
        <f>C352-B352</f>
        <v>0</v>
      </c>
    </row>
    <row r="353" spans="1:4">
      <c r="A353" s="12">
        <v>43815</v>
      </c>
      <c r="B353" s="3">
        <v>96</v>
      </c>
      <c r="C353" s="3">
        <v>96</v>
      </c>
      <c r="D353" s="3">
        <f>C353-B353</f>
        <v>0</v>
      </c>
    </row>
    <row r="354" spans="1:4">
      <c r="A354" s="12">
        <v>43816</v>
      </c>
      <c r="B354" s="3">
        <v>96</v>
      </c>
      <c r="C354" s="3">
        <v>96</v>
      </c>
      <c r="D354" s="3">
        <f>C354-B354</f>
        <v>0</v>
      </c>
    </row>
    <row r="355" spans="1:4">
      <c r="A355" s="12">
        <v>43817</v>
      </c>
      <c r="B355" s="3">
        <v>96</v>
      </c>
      <c r="C355" s="3">
        <v>96</v>
      </c>
      <c r="D355" s="3">
        <f>C355-B355</f>
        <v>0</v>
      </c>
    </row>
    <row r="356" spans="1:4">
      <c r="A356" s="12">
        <v>43818</v>
      </c>
      <c r="B356" s="3">
        <v>96</v>
      </c>
      <c r="C356" s="3">
        <v>96</v>
      </c>
      <c r="D356" s="3">
        <f>C356-B356</f>
        <v>0</v>
      </c>
    </row>
    <row r="357" spans="1:4">
      <c r="A357" s="12">
        <v>43819</v>
      </c>
      <c r="B357" s="3">
        <v>96</v>
      </c>
      <c r="C357" s="3">
        <v>96</v>
      </c>
      <c r="D357" s="3">
        <f>C357-B357</f>
        <v>0</v>
      </c>
    </row>
    <row r="358" spans="1:4">
      <c r="A358" s="12">
        <v>43820</v>
      </c>
      <c r="B358" s="3">
        <v>96</v>
      </c>
      <c r="C358" s="3">
        <v>96</v>
      </c>
      <c r="D358" s="3">
        <f>C358-B358</f>
        <v>0</v>
      </c>
    </row>
    <row r="359" spans="1:4">
      <c r="A359" s="12">
        <v>43821</v>
      </c>
      <c r="B359" s="3">
        <v>96</v>
      </c>
      <c r="C359" s="3">
        <v>96</v>
      </c>
      <c r="D359" s="3">
        <f>C359-B359</f>
        <v>0</v>
      </c>
    </row>
    <row r="360" spans="1:4">
      <c r="A360" s="12">
        <v>43822</v>
      </c>
      <c r="B360" s="3">
        <v>96</v>
      </c>
      <c r="C360" s="3">
        <v>96</v>
      </c>
      <c r="D360" s="3">
        <f>C360-B360</f>
        <v>0</v>
      </c>
    </row>
    <row r="361" spans="1:4">
      <c r="A361" s="12">
        <v>43823</v>
      </c>
      <c r="B361" s="3">
        <v>96</v>
      </c>
      <c r="C361" s="3">
        <v>96</v>
      </c>
      <c r="D361" s="3">
        <f>C361-B361</f>
        <v>0</v>
      </c>
    </row>
    <row r="362" spans="1:4">
      <c r="A362" s="12">
        <v>43824</v>
      </c>
      <c r="B362" s="3">
        <v>96</v>
      </c>
      <c r="C362" s="3">
        <v>96</v>
      </c>
      <c r="D362" s="3">
        <f>C362-B362</f>
        <v>0</v>
      </c>
    </row>
    <row r="363" spans="1:4">
      <c r="A363" s="12">
        <v>43825</v>
      </c>
      <c r="B363" s="3">
        <v>96</v>
      </c>
      <c r="C363" s="3">
        <v>96</v>
      </c>
      <c r="D363" s="3">
        <f>C363-B363</f>
        <v>0</v>
      </c>
    </row>
    <row r="364" spans="1:4">
      <c r="A364" s="12">
        <v>43826</v>
      </c>
      <c r="B364" s="3">
        <v>96</v>
      </c>
      <c r="C364" s="3">
        <v>96</v>
      </c>
      <c r="D364" s="3">
        <f>C364-B364</f>
        <v>0</v>
      </c>
    </row>
    <row r="365" spans="1:4">
      <c r="A365" s="12">
        <v>43827</v>
      </c>
      <c r="B365" s="3">
        <v>96</v>
      </c>
      <c r="C365" s="3">
        <v>96</v>
      </c>
      <c r="D365" s="3">
        <f>C365-B365</f>
        <v>0</v>
      </c>
    </row>
    <row r="366" spans="1:4">
      <c r="A366" s="12">
        <v>43828</v>
      </c>
      <c r="B366" s="3">
        <v>96</v>
      </c>
      <c r="C366" s="3">
        <v>96</v>
      </c>
      <c r="D366" s="3">
        <f>C366-B366</f>
        <v>0</v>
      </c>
    </row>
    <row r="367" spans="1:4">
      <c r="A367" s="12">
        <v>43829</v>
      </c>
      <c r="B367" s="3">
        <v>96</v>
      </c>
      <c r="C367" s="3">
        <v>96</v>
      </c>
      <c r="D367" s="3">
        <f>C367-B367</f>
        <v>0</v>
      </c>
    </row>
    <row r="368" spans="1:4">
      <c r="A368" s="12">
        <v>43830</v>
      </c>
      <c r="B368" s="3">
        <v>96</v>
      </c>
      <c r="C368" s="3">
        <v>96</v>
      </c>
      <c r="D368" s="3">
        <f>C368-B368</f>
        <v>0</v>
      </c>
    </row>
    <row r="369" spans="1:4">
      <c r="A369" s="12">
        <v>43831</v>
      </c>
      <c r="B369" s="3">
        <v>96</v>
      </c>
      <c r="C369" s="3">
        <v>96</v>
      </c>
      <c r="D369" s="3">
        <f>C369-B369</f>
        <v>0</v>
      </c>
    </row>
    <row r="370" spans="1:4">
      <c r="A370" s="12">
        <v>43832</v>
      </c>
      <c r="B370" s="3">
        <v>96</v>
      </c>
      <c r="C370" s="3">
        <v>96</v>
      </c>
      <c r="D370" s="3">
        <f>C370-B370</f>
        <v>0</v>
      </c>
    </row>
    <row r="371" spans="1:4">
      <c r="A371" s="12">
        <v>43833</v>
      </c>
      <c r="B371" s="3">
        <v>96</v>
      </c>
      <c r="C371" s="3">
        <v>96</v>
      </c>
      <c r="D371" s="3">
        <f>C371-B371</f>
        <v>0</v>
      </c>
    </row>
    <row r="372" spans="1:4">
      <c r="A372" s="12">
        <v>43834</v>
      </c>
      <c r="B372" s="3">
        <v>96</v>
      </c>
      <c r="C372" s="3">
        <v>96</v>
      </c>
      <c r="D372" s="3">
        <f>C372-B372</f>
        <v>0</v>
      </c>
    </row>
    <row r="373" spans="1:4">
      <c r="A373" s="12">
        <v>43835</v>
      </c>
      <c r="B373" s="3">
        <v>96</v>
      </c>
      <c r="C373" s="3">
        <v>96</v>
      </c>
      <c r="D373" s="3">
        <f>C373-B373</f>
        <v>0</v>
      </c>
    </row>
    <row r="374" spans="1:4">
      <c r="A374" s="12">
        <v>43836</v>
      </c>
      <c r="B374" s="3">
        <v>96</v>
      </c>
      <c r="C374" s="3">
        <v>96</v>
      </c>
      <c r="D374" s="3">
        <f>C374-B374</f>
        <v>0</v>
      </c>
    </row>
    <row r="375" spans="1:4">
      <c r="A375" s="12">
        <v>43837</v>
      </c>
      <c r="B375" s="3">
        <v>96</v>
      </c>
      <c r="C375" s="3">
        <v>96</v>
      </c>
      <c r="D375" s="3">
        <f>C375-B375</f>
        <v>0</v>
      </c>
    </row>
    <row r="376" spans="1:4">
      <c r="A376" s="12">
        <v>43838</v>
      </c>
      <c r="B376" s="3">
        <v>96</v>
      </c>
      <c r="C376" s="3">
        <v>96</v>
      </c>
      <c r="D376" s="3">
        <f>C376-B376</f>
        <v>0</v>
      </c>
    </row>
    <row r="377" spans="1:4">
      <c r="A377" s="12">
        <v>43839</v>
      </c>
      <c r="B377" s="3">
        <v>96</v>
      </c>
      <c r="C377" s="3">
        <v>96</v>
      </c>
      <c r="D377" s="3">
        <f>C377-B377</f>
        <v>0</v>
      </c>
    </row>
    <row r="378" spans="1:4">
      <c r="A378" s="12">
        <v>43840</v>
      </c>
      <c r="B378" s="3">
        <v>96</v>
      </c>
      <c r="C378" s="3">
        <v>96</v>
      </c>
      <c r="D378" s="3">
        <f>C378-B378</f>
        <v>0</v>
      </c>
    </row>
    <row r="379" spans="1:4">
      <c r="A379" s="12">
        <v>43841</v>
      </c>
      <c r="B379" s="3">
        <v>96</v>
      </c>
      <c r="C379" s="3">
        <v>96</v>
      </c>
      <c r="D379" s="3">
        <f>C379-B379</f>
        <v>0</v>
      </c>
    </row>
    <row r="380" spans="1:4">
      <c r="A380" s="12">
        <v>43842</v>
      </c>
      <c r="B380" s="3">
        <v>96</v>
      </c>
      <c r="C380" s="3">
        <v>96</v>
      </c>
      <c r="D380" s="3">
        <f>C380-B380</f>
        <v>0</v>
      </c>
    </row>
    <row r="381" spans="1:4">
      <c r="A381" s="12">
        <v>43843</v>
      </c>
      <c r="B381" s="3">
        <v>96</v>
      </c>
      <c r="C381" s="3">
        <v>96</v>
      </c>
      <c r="D381" s="3">
        <f>C381-B381</f>
        <v>0</v>
      </c>
    </row>
    <row r="382" spans="1:4">
      <c r="A382" s="12">
        <v>43844</v>
      </c>
      <c r="B382" s="3">
        <v>96</v>
      </c>
      <c r="C382" s="3">
        <v>96</v>
      </c>
      <c r="D382" s="3">
        <f>C382-B382</f>
        <v>0</v>
      </c>
    </row>
    <row r="383" spans="1:4">
      <c r="A383" s="12">
        <v>43845</v>
      </c>
      <c r="B383" s="3">
        <v>96</v>
      </c>
      <c r="C383" s="3">
        <v>96</v>
      </c>
      <c r="D383" s="3">
        <f>C383-B383</f>
        <v>0</v>
      </c>
    </row>
    <row r="384" spans="1:4">
      <c r="A384" s="12">
        <v>43846</v>
      </c>
      <c r="B384" s="3">
        <v>96</v>
      </c>
      <c r="C384" s="3">
        <v>96</v>
      </c>
      <c r="D384" s="3">
        <f>C384-B384</f>
        <v>0</v>
      </c>
    </row>
    <row r="385" spans="1:4">
      <c r="A385" s="12">
        <v>43847</v>
      </c>
      <c r="B385" s="3">
        <v>96</v>
      </c>
      <c r="C385" s="3">
        <v>96</v>
      </c>
      <c r="D385" s="3">
        <f>C385-B385</f>
        <v>0</v>
      </c>
    </row>
    <row r="386" spans="1:4">
      <c r="A386" s="12">
        <v>43848</v>
      </c>
      <c r="B386" s="3">
        <v>96</v>
      </c>
      <c r="C386" s="3">
        <v>96</v>
      </c>
      <c r="D386" s="3">
        <f>C386-B386</f>
        <v>0</v>
      </c>
    </row>
    <row r="387" spans="1:4">
      <c r="A387" s="12">
        <v>43849</v>
      </c>
      <c r="B387" s="3">
        <v>96</v>
      </c>
      <c r="C387" s="3">
        <v>96</v>
      </c>
      <c r="D387" s="3">
        <f>C387-B387</f>
        <v>0</v>
      </c>
    </row>
    <row r="388" spans="1:4">
      <c r="A388" s="12">
        <v>43850</v>
      </c>
      <c r="B388" s="3">
        <v>96</v>
      </c>
      <c r="C388" s="3">
        <v>96</v>
      </c>
      <c r="D388" s="3">
        <f>C388-B388</f>
        <v>0</v>
      </c>
    </row>
    <row r="389" spans="1:4">
      <c r="A389" s="12">
        <v>43851</v>
      </c>
      <c r="B389" s="3">
        <v>96</v>
      </c>
      <c r="C389" s="3">
        <v>96</v>
      </c>
      <c r="D389" s="3">
        <f>C389-B389</f>
        <v>0</v>
      </c>
    </row>
    <row r="390" spans="1:4">
      <c r="A390" s="12">
        <v>43852</v>
      </c>
      <c r="B390" s="3">
        <v>96</v>
      </c>
      <c r="C390" s="3">
        <v>96</v>
      </c>
      <c r="D390" s="3">
        <f>C390-B390</f>
        <v>0</v>
      </c>
    </row>
    <row r="391" spans="1:4">
      <c r="A391" s="12">
        <v>43853</v>
      </c>
      <c r="B391" s="3">
        <v>96</v>
      </c>
      <c r="C391" s="3">
        <v>96</v>
      </c>
      <c r="D391" s="3">
        <f>C391-B391</f>
        <v>0</v>
      </c>
    </row>
    <row r="392" spans="1:4">
      <c r="A392" s="12">
        <v>43854</v>
      </c>
      <c r="B392" s="3">
        <v>96</v>
      </c>
      <c r="C392" s="3">
        <v>96</v>
      </c>
      <c r="D392" s="3">
        <f>C392-B392</f>
        <v>0</v>
      </c>
    </row>
    <row r="393" spans="1:4">
      <c r="A393" s="12">
        <v>43855</v>
      </c>
      <c r="B393" s="3">
        <v>96</v>
      </c>
      <c r="C393" s="3">
        <v>96</v>
      </c>
      <c r="D393" s="3">
        <f>C393-B393</f>
        <v>0</v>
      </c>
    </row>
    <row r="394" spans="1:4">
      <c r="A394" s="12">
        <v>43856</v>
      </c>
      <c r="B394" s="3">
        <v>96</v>
      </c>
      <c r="C394" s="3">
        <v>96</v>
      </c>
      <c r="D394" s="3">
        <f>C394-B394</f>
        <v>0</v>
      </c>
    </row>
    <row r="395" spans="1:4">
      <c r="A395" s="12">
        <v>43857</v>
      </c>
      <c r="B395" s="3">
        <v>96</v>
      </c>
      <c r="C395" s="3">
        <v>96</v>
      </c>
      <c r="D395" s="3">
        <f>C395-B395</f>
        <v>0</v>
      </c>
    </row>
    <row r="396" spans="1:4">
      <c r="A396" s="12">
        <v>43858</v>
      </c>
      <c r="B396" s="3">
        <v>96</v>
      </c>
      <c r="C396" s="3">
        <v>96</v>
      </c>
      <c r="D396" s="3">
        <f>C396-B396</f>
        <v>0</v>
      </c>
    </row>
    <row r="397" spans="1:4">
      <c r="A397" s="12">
        <v>43859</v>
      </c>
      <c r="B397" s="3">
        <v>96</v>
      </c>
      <c r="C397" s="3">
        <v>96</v>
      </c>
      <c r="D397" s="3">
        <f>C397-B397</f>
        <v>0</v>
      </c>
    </row>
    <row r="398" spans="1:4">
      <c r="A398" s="12">
        <v>43860</v>
      </c>
      <c r="B398" s="3">
        <v>96</v>
      </c>
      <c r="C398" s="3">
        <v>96</v>
      </c>
      <c r="D398" s="3">
        <f>C398-B398</f>
        <v>0</v>
      </c>
    </row>
    <row r="399" spans="1:4">
      <c r="A399" s="12">
        <v>43861</v>
      </c>
      <c r="B399" s="3">
        <v>96</v>
      </c>
      <c r="C399" s="3">
        <v>96</v>
      </c>
      <c r="D399" s="3">
        <f>C399-B399</f>
        <v>0</v>
      </c>
    </row>
    <row r="400" spans="1:4">
      <c r="A400" s="12">
        <v>43862</v>
      </c>
      <c r="B400" s="3">
        <v>96</v>
      </c>
      <c r="C400" s="3">
        <v>96</v>
      </c>
      <c r="D400" s="3">
        <f>C400-B400</f>
        <v>0</v>
      </c>
    </row>
    <row r="401" spans="1:4">
      <c r="A401" s="12">
        <v>43863</v>
      </c>
      <c r="B401" s="3">
        <v>96</v>
      </c>
      <c r="C401" s="3">
        <v>96</v>
      </c>
      <c r="D401" s="3">
        <f>C401-B401</f>
        <v>0</v>
      </c>
    </row>
    <row r="402" spans="1:4">
      <c r="A402" s="12">
        <v>43864</v>
      </c>
      <c r="B402" s="3">
        <v>96</v>
      </c>
      <c r="C402" s="3">
        <v>96</v>
      </c>
      <c r="D402" s="3">
        <f>C402-B402</f>
        <v>0</v>
      </c>
    </row>
    <row r="403" spans="1:4">
      <c r="A403" s="12">
        <v>43865</v>
      </c>
      <c r="B403" s="3">
        <v>96</v>
      </c>
      <c r="C403" s="3">
        <v>96</v>
      </c>
      <c r="D403" s="3">
        <f>C403-B403</f>
        <v>0</v>
      </c>
    </row>
    <row r="404" spans="1:4">
      <c r="A404" s="12">
        <v>43866</v>
      </c>
      <c r="B404" s="3">
        <v>96</v>
      </c>
      <c r="C404" s="3">
        <v>96</v>
      </c>
      <c r="D404" s="3">
        <f>C404-B404</f>
        <v>0</v>
      </c>
    </row>
    <row r="405" spans="1:4">
      <c r="A405" s="12">
        <v>43867</v>
      </c>
      <c r="B405" s="3">
        <v>96</v>
      </c>
      <c r="C405" s="3">
        <v>96</v>
      </c>
      <c r="D405" s="3">
        <f>C405-B405</f>
        <v>0</v>
      </c>
    </row>
    <row r="406" spans="1:4">
      <c r="A406" s="12">
        <v>43868</v>
      </c>
      <c r="B406" s="3">
        <v>96</v>
      </c>
      <c r="C406" s="3">
        <v>96</v>
      </c>
      <c r="D406" s="3">
        <f>C406-B406</f>
        <v>0</v>
      </c>
    </row>
    <row r="407" spans="1:4">
      <c r="A407" s="12">
        <v>43869</v>
      </c>
      <c r="B407" s="3">
        <v>96</v>
      </c>
      <c r="C407" s="3">
        <v>96</v>
      </c>
      <c r="D407" s="3">
        <f>C407-B407</f>
        <v>0</v>
      </c>
    </row>
    <row r="408" spans="1:4">
      <c r="A408" s="12">
        <v>43870</v>
      </c>
      <c r="B408" s="3">
        <v>96</v>
      </c>
      <c r="C408" s="3">
        <v>96</v>
      </c>
      <c r="D408" s="3">
        <f>C408-B408</f>
        <v>0</v>
      </c>
    </row>
    <row r="409" spans="1:4">
      <c r="A409" s="12">
        <v>43871</v>
      </c>
      <c r="B409" s="3">
        <v>96</v>
      </c>
      <c r="C409" s="3">
        <v>96</v>
      </c>
      <c r="D409" s="3">
        <f>C409-B409</f>
        <v>0</v>
      </c>
    </row>
    <row r="410" spans="1:4">
      <c r="A410" s="12">
        <v>43872</v>
      </c>
      <c r="B410" s="3">
        <v>96</v>
      </c>
      <c r="C410" s="3">
        <v>96</v>
      </c>
      <c r="D410" s="3">
        <f>C410-B410</f>
        <v>0</v>
      </c>
    </row>
    <row r="411" spans="1:4">
      <c r="A411" s="12">
        <v>43873</v>
      </c>
      <c r="B411" s="3">
        <v>96</v>
      </c>
      <c r="C411" s="3">
        <v>96</v>
      </c>
      <c r="D411" s="3">
        <f>C411-B411</f>
        <v>0</v>
      </c>
    </row>
    <row r="412" spans="1:4">
      <c r="A412" s="12">
        <v>43874</v>
      </c>
      <c r="B412" s="3">
        <v>96</v>
      </c>
      <c r="C412" s="3">
        <v>96</v>
      </c>
      <c r="D412" s="3">
        <f>C412-B412</f>
        <v>0</v>
      </c>
    </row>
    <row r="413" spans="1:4">
      <c r="A413" s="12">
        <v>43875</v>
      </c>
      <c r="B413" s="3">
        <v>96</v>
      </c>
      <c r="C413" s="3">
        <v>96</v>
      </c>
      <c r="D413" s="3">
        <f>C413-B413</f>
        <v>0</v>
      </c>
    </row>
    <row r="414" spans="1:4">
      <c r="A414" s="12">
        <v>43876</v>
      </c>
      <c r="B414" s="3">
        <v>96</v>
      </c>
      <c r="C414" s="3">
        <v>96</v>
      </c>
      <c r="D414" s="3">
        <f>C414-B414</f>
        <v>0</v>
      </c>
    </row>
    <row r="415" spans="1:4">
      <c r="A415" s="12">
        <v>43877</v>
      </c>
      <c r="B415" s="3">
        <v>96</v>
      </c>
      <c r="C415" s="3">
        <v>96</v>
      </c>
      <c r="D415" s="3">
        <f>C415-B415</f>
        <v>0</v>
      </c>
    </row>
    <row r="416" spans="1:4">
      <c r="A416" s="12">
        <v>43878</v>
      </c>
      <c r="B416" s="3">
        <v>96</v>
      </c>
      <c r="C416" s="3">
        <v>96</v>
      </c>
      <c r="D416" s="3">
        <f>C416-B416</f>
        <v>0</v>
      </c>
    </row>
    <row r="417" spans="1:4">
      <c r="A417" s="12">
        <v>43879</v>
      </c>
      <c r="B417" s="3">
        <v>96</v>
      </c>
      <c r="C417" s="3">
        <v>96</v>
      </c>
      <c r="D417" s="3">
        <f>C417-B417</f>
        <v>0</v>
      </c>
    </row>
    <row r="418" spans="1:4">
      <c r="A418" s="12">
        <v>43880</v>
      </c>
      <c r="B418" s="3">
        <v>96</v>
      </c>
      <c r="C418" s="3">
        <v>96</v>
      </c>
      <c r="D418" s="3">
        <f>C418-B418</f>
        <v>0</v>
      </c>
    </row>
    <row r="419" spans="1:4">
      <c r="A419" s="12">
        <v>43881</v>
      </c>
      <c r="B419" s="3">
        <v>96</v>
      </c>
      <c r="C419" s="3">
        <v>96</v>
      </c>
      <c r="D419" s="3">
        <f>C419-B419</f>
        <v>0</v>
      </c>
    </row>
    <row r="420" spans="1:4">
      <c r="A420" s="12">
        <v>43882</v>
      </c>
      <c r="B420" s="3">
        <v>96</v>
      </c>
      <c r="C420" s="3">
        <v>96</v>
      </c>
      <c r="D420" s="3">
        <f>C420-B420</f>
        <v>0</v>
      </c>
    </row>
    <row r="421" spans="1:4">
      <c r="A421" s="12">
        <v>43883</v>
      </c>
      <c r="B421" s="3">
        <v>96</v>
      </c>
      <c r="C421" s="3">
        <v>96</v>
      </c>
      <c r="D421" s="3">
        <f>C421-B421</f>
        <v>0</v>
      </c>
    </row>
    <row r="422" spans="1:4">
      <c r="A422" s="12">
        <v>43884</v>
      </c>
      <c r="B422" s="3">
        <v>96</v>
      </c>
      <c r="C422" s="3">
        <v>96</v>
      </c>
      <c r="D422" s="3">
        <f>C422-B422</f>
        <v>0</v>
      </c>
    </row>
    <row r="423" spans="1:4">
      <c r="A423" s="12">
        <v>43885</v>
      </c>
      <c r="B423" s="3">
        <v>96</v>
      </c>
      <c r="C423" s="3">
        <v>96</v>
      </c>
      <c r="D423" s="3">
        <f>C423-B423</f>
        <v>0</v>
      </c>
    </row>
    <row r="424" spans="1:4">
      <c r="A424" s="12">
        <v>43886</v>
      </c>
      <c r="B424" s="3">
        <v>96</v>
      </c>
      <c r="C424" s="3">
        <v>96</v>
      </c>
      <c r="D424" s="3">
        <f>C424-B424</f>
        <v>0</v>
      </c>
    </row>
    <row r="425" spans="1:4">
      <c r="A425" s="12">
        <v>43887</v>
      </c>
      <c r="B425" s="3">
        <v>96</v>
      </c>
      <c r="C425" s="3">
        <v>96</v>
      </c>
      <c r="D425" s="3">
        <f>C425-B425</f>
        <v>0</v>
      </c>
    </row>
    <row r="426" spans="1:4">
      <c r="A426" s="12">
        <v>43888</v>
      </c>
      <c r="B426" s="3">
        <v>96</v>
      </c>
      <c r="C426" s="3">
        <v>96</v>
      </c>
      <c r="D426" s="3">
        <f>C426-B426</f>
        <v>0</v>
      </c>
    </row>
    <row r="427" spans="1:4">
      <c r="A427" s="12">
        <v>43889</v>
      </c>
      <c r="B427" s="3">
        <v>96</v>
      </c>
      <c r="C427" s="3">
        <v>96</v>
      </c>
      <c r="D427" s="3">
        <f>C427-B427</f>
        <v>0</v>
      </c>
    </row>
    <row r="428" spans="1:4">
      <c r="A428" s="12">
        <v>43890</v>
      </c>
      <c r="B428" s="3">
        <v>96</v>
      </c>
      <c r="C428" s="3">
        <v>96</v>
      </c>
      <c r="D428" s="3">
        <f>C428-B428</f>
        <v>0</v>
      </c>
    </row>
    <row r="429" spans="1:4">
      <c r="A429" s="12">
        <v>43891</v>
      </c>
      <c r="B429" s="3">
        <v>96</v>
      </c>
      <c r="C429" s="3">
        <v>96</v>
      </c>
      <c r="D429" s="3">
        <f>C429-B429</f>
        <v>0</v>
      </c>
    </row>
    <row r="430" spans="1:4">
      <c r="A430" s="12">
        <v>43892</v>
      </c>
      <c r="B430" s="3">
        <v>96</v>
      </c>
      <c r="C430" s="3">
        <v>96</v>
      </c>
      <c r="D430" s="3">
        <f>C430-B430</f>
        <v>0</v>
      </c>
    </row>
    <row r="431" spans="1:4">
      <c r="A431" s="12">
        <v>43893</v>
      </c>
      <c r="B431" s="3">
        <v>96</v>
      </c>
      <c r="C431" s="3">
        <v>96</v>
      </c>
      <c r="D431" s="3">
        <f>C431-B431</f>
        <v>0</v>
      </c>
    </row>
    <row r="432" spans="1:4">
      <c r="A432" s="12">
        <v>43894</v>
      </c>
      <c r="B432" s="3">
        <v>96</v>
      </c>
      <c r="C432" s="3">
        <v>96</v>
      </c>
      <c r="D432" s="3">
        <f>C432-B432</f>
        <v>0</v>
      </c>
    </row>
    <row r="433" spans="1:4">
      <c r="A433" s="12">
        <v>43895</v>
      </c>
      <c r="B433" s="3">
        <v>96</v>
      </c>
      <c r="C433" s="3">
        <v>96</v>
      </c>
      <c r="D433" s="3">
        <f>C433-B433</f>
        <v>0</v>
      </c>
    </row>
    <row r="434" spans="1:4">
      <c r="A434" s="12">
        <v>43896</v>
      </c>
      <c r="B434" s="3">
        <v>96</v>
      </c>
      <c r="C434" s="3">
        <v>96</v>
      </c>
      <c r="D434" s="3">
        <f>C434-B434</f>
        <v>0</v>
      </c>
    </row>
    <row r="435" spans="1:4">
      <c r="A435" s="12">
        <v>43897</v>
      </c>
      <c r="B435" s="3">
        <v>96</v>
      </c>
      <c r="C435" s="3">
        <v>96</v>
      </c>
      <c r="D435" s="3">
        <f>C435-B435</f>
        <v>0</v>
      </c>
    </row>
    <row r="436" spans="1:4">
      <c r="A436" s="12">
        <v>43898</v>
      </c>
      <c r="B436" s="3">
        <v>96</v>
      </c>
      <c r="C436" s="3">
        <v>96</v>
      </c>
      <c r="D436" s="3">
        <f>C436-B436</f>
        <v>0</v>
      </c>
    </row>
    <row r="437" spans="1:4">
      <c r="A437" s="12">
        <v>43899</v>
      </c>
      <c r="B437" s="3">
        <v>96</v>
      </c>
      <c r="C437" s="3">
        <v>96</v>
      </c>
      <c r="D437" s="3">
        <f>C437-B437</f>
        <v>0</v>
      </c>
    </row>
    <row r="438" spans="1:4">
      <c r="A438" s="12">
        <v>43900</v>
      </c>
      <c r="B438" s="3">
        <v>96</v>
      </c>
      <c r="C438" s="3">
        <v>96</v>
      </c>
      <c r="D438" s="3">
        <f>C438-B438</f>
        <v>0</v>
      </c>
    </row>
    <row r="439" spans="1:4">
      <c r="A439" s="12">
        <v>43901</v>
      </c>
      <c r="B439" s="3">
        <v>96</v>
      </c>
      <c r="C439" s="3">
        <v>96</v>
      </c>
      <c r="D439" s="3">
        <f>C439-B439</f>
        <v>0</v>
      </c>
    </row>
    <row r="440" spans="1:4">
      <c r="A440" s="12">
        <v>43902</v>
      </c>
      <c r="B440" s="3">
        <v>96</v>
      </c>
      <c r="C440" s="3">
        <v>96</v>
      </c>
      <c r="D440" s="3">
        <f>C440-B440</f>
        <v>0</v>
      </c>
    </row>
    <row r="441" spans="1:4">
      <c r="A441" s="12">
        <v>43903</v>
      </c>
      <c r="B441" s="3">
        <v>96</v>
      </c>
      <c r="C441" s="3">
        <v>96</v>
      </c>
      <c r="D441" s="3">
        <f>C441-B441</f>
        <v>0</v>
      </c>
    </row>
    <row r="442" spans="1:4">
      <c r="A442" s="12">
        <v>43904</v>
      </c>
      <c r="B442" s="3">
        <v>96</v>
      </c>
      <c r="C442" s="3">
        <v>96</v>
      </c>
      <c r="D442" s="3">
        <f>C442-B442</f>
        <v>0</v>
      </c>
    </row>
    <row r="443" spans="1:4">
      <c r="A443" s="12">
        <v>43905</v>
      </c>
      <c r="B443" s="3">
        <v>96</v>
      </c>
      <c r="C443" s="3">
        <v>96</v>
      </c>
      <c r="D443" s="3">
        <f>C443-B443</f>
        <v>0</v>
      </c>
    </row>
    <row r="444" spans="1:4">
      <c r="A444" s="12">
        <v>43906</v>
      </c>
      <c r="B444" s="3">
        <v>96</v>
      </c>
      <c r="C444" s="3">
        <v>96</v>
      </c>
      <c r="D444" s="3">
        <f>C444-B444</f>
        <v>0</v>
      </c>
    </row>
    <row r="445" spans="1:4">
      <c r="A445" s="12">
        <v>43907</v>
      </c>
      <c r="B445" s="3">
        <v>96</v>
      </c>
      <c r="C445" s="3">
        <v>96</v>
      </c>
      <c r="D445" s="3">
        <f>C445-B445</f>
        <v>0</v>
      </c>
    </row>
    <row r="446" spans="1:4">
      <c r="A446" s="12">
        <v>43908</v>
      </c>
      <c r="B446" s="3">
        <v>96</v>
      </c>
      <c r="C446" s="3">
        <v>96</v>
      </c>
      <c r="D446" s="3">
        <f>C446-B446</f>
        <v>0</v>
      </c>
    </row>
    <row r="447" spans="1:4">
      <c r="A447" s="12">
        <v>43909</v>
      </c>
      <c r="B447" s="3">
        <v>96</v>
      </c>
      <c r="C447" s="3">
        <v>96</v>
      </c>
      <c r="D447" s="3">
        <f>C447-B447</f>
        <v>0</v>
      </c>
    </row>
    <row r="448" spans="1:4">
      <c r="A448" s="12">
        <v>43910</v>
      </c>
      <c r="B448" s="3">
        <v>96</v>
      </c>
      <c r="C448" s="3">
        <v>96</v>
      </c>
      <c r="D448" s="3">
        <f>C448-B448</f>
        <v>0</v>
      </c>
    </row>
    <row r="449" spans="1:4">
      <c r="A449" s="12">
        <v>43911</v>
      </c>
      <c r="B449" s="3">
        <v>96</v>
      </c>
      <c r="C449" s="3">
        <v>96</v>
      </c>
      <c r="D449" s="3">
        <f>C449-B449</f>
        <v>0</v>
      </c>
    </row>
    <row r="450" spans="1:4">
      <c r="A450" s="12">
        <v>43912</v>
      </c>
      <c r="B450" s="3">
        <v>96</v>
      </c>
      <c r="C450" s="3">
        <v>96</v>
      </c>
      <c r="D450" s="3">
        <f>C450-B450</f>
        <v>0</v>
      </c>
    </row>
    <row r="451" spans="1:4">
      <c r="A451" s="12">
        <v>43913</v>
      </c>
      <c r="B451" s="3">
        <v>96</v>
      </c>
      <c r="C451" s="3">
        <v>96</v>
      </c>
      <c r="D451" s="3">
        <f>C451-B451</f>
        <v>0</v>
      </c>
    </row>
    <row r="452" spans="1:4">
      <c r="A452" s="12">
        <v>43914</v>
      </c>
      <c r="B452" s="3">
        <v>96</v>
      </c>
      <c r="C452" s="3">
        <v>96</v>
      </c>
      <c r="D452" s="3">
        <f>C452-B452</f>
        <v>0</v>
      </c>
    </row>
    <row r="453" spans="1:4">
      <c r="A453" s="12">
        <v>43915</v>
      </c>
      <c r="B453" s="3">
        <v>96</v>
      </c>
      <c r="C453" s="3">
        <v>96</v>
      </c>
      <c r="D453" s="3">
        <f>C453-B453</f>
        <v>0</v>
      </c>
    </row>
    <row r="454" spans="1:4">
      <c r="A454" s="12">
        <v>43916</v>
      </c>
      <c r="B454" s="3">
        <v>96</v>
      </c>
      <c r="C454" s="3">
        <v>96</v>
      </c>
      <c r="D454" s="3">
        <f>C454-B454</f>
        <v>0</v>
      </c>
    </row>
    <row r="455" spans="1:4">
      <c r="A455" s="12">
        <v>43917</v>
      </c>
      <c r="B455" s="3">
        <v>96</v>
      </c>
      <c r="C455" s="3">
        <v>96</v>
      </c>
      <c r="D455" s="3">
        <f>C455-B455</f>
        <v>0</v>
      </c>
    </row>
    <row r="456" spans="1:4">
      <c r="A456" s="12">
        <v>43918</v>
      </c>
      <c r="B456" s="3">
        <v>96</v>
      </c>
      <c r="C456" s="3">
        <v>96</v>
      </c>
      <c r="D456" s="3">
        <f>C456-B456</f>
        <v>0</v>
      </c>
    </row>
    <row r="457" spans="1:4">
      <c r="A457" s="12">
        <v>43919</v>
      </c>
      <c r="B457" s="3">
        <v>92</v>
      </c>
      <c r="C457" s="3">
        <v>92</v>
      </c>
      <c r="D457" s="3">
        <f>C457-B457</f>
        <v>0</v>
      </c>
    </row>
    <row r="458" spans="1:4">
      <c r="A458" s="12">
        <v>43920</v>
      </c>
      <c r="B458" s="3">
        <v>96</v>
      </c>
      <c r="C458" s="3">
        <v>96</v>
      </c>
      <c r="D458" s="3">
        <f>C458-B458</f>
        <v>0</v>
      </c>
    </row>
    <row r="459" spans="1:4">
      <c r="A459" s="12">
        <v>43921</v>
      </c>
      <c r="B459" s="3">
        <v>96</v>
      </c>
      <c r="C459" s="3">
        <v>96</v>
      </c>
      <c r="D459" s="3">
        <f>C459-B459</f>
        <v>0</v>
      </c>
    </row>
    <row r="460" spans="1:4">
      <c r="A460" s="12">
        <v>43922</v>
      </c>
      <c r="B460" s="3">
        <v>96</v>
      </c>
      <c r="C460" s="3">
        <v>96</v>
      </c>
      <c r="D460" s="3">
        <f>C460-B460</f>
        <v>0</v>
      </c>
    </row>
    <row r="461" spans="1:4">
      <c r="A461" s="12">
        <v>43923</v>
      </c>
      <c r="B461" s="3">
        <v>96</v>
      </c>
      <c r="C461" s="3">
        <v>96</v>
      </c>
      <c r="D461" s="3">
        <f>C461-B461</f>
        <v>0</v>
      </c>
    </row>
    <row r="462" spans="1:4">
      <c r="A462" s="12">
        <v>43924</v>
      </c>
      <c r="B462" s="3">
        <v>96</v>
      </c>
      <c r="C462" s="3">
        <v>96</v>
      </c>
      <c r="D462" s="3">
        <f>C462-B462</f>
        <v>0</v>
      </c>
    </row>
    <row r="463" spans="1:4">
      <c r="A463" s="12">
        <v>43925</v>
      </c>
      <c r="B463" s="3">
        <v>96</v>
      </c>
      <c r="C463" s="3">
        <v>96</v>
      </c>
      <c r="D463" s="3">
        <f>C463-B463</f>
        <v>0</v>
      </c>
    </row>
    <row r="464" spans="1:4">
      <c r="A464" s="12">
        <v>43926</v>
      </c>
      <c r="B464" s="3">
        <v>96</v>
      </c>
      <c r="C464" s="3">
        <v>96</v>
      </c>
      <c r="D464" s="3">
        <f>C464-B464</f>
        <v>0</v>
      </c>
    </row>
    <row r="465" spans="1:4">
      <c r="A465" s="12">
        <v>43927</v>
      </c>
      <c r="B465" s="3">
        <v>96</v>
      </c>
      <c r="C465" s="3">
        <v>96</v>
      </c>
      <c r="D465" s="3">
        <f>C465-B465</f>
        <v>0</v>
      </c>
    </row>
    <row r="466" spans="1:4">
      <c r="A466" s="12">
        <v>43928</v>
      </c>
      <c r="B466" s="3">
        <v>96</v>
      </c>
      <c r="C466" s="3">
        <v>96</v>
      </c>
      <c r="D466" s="3">
        <f>C466-B466</f>
        <v>0</v>
      </c>
    </row>
    <row r="467" spans="1:4">
      <c r="A467" s="12">
        <v>43929</v>
      </c>
      <c r="B467" s="3">
        <v>96</v>
      </c>
      <c r="C467" s="3">
        <v>96</v>
      </c>
      <c r="D467" s="3">
        <f>C467-B467</f>
        <v>0</v>
      </c>
    </row>
    <row r="468" spans="1:4">
      <c r="A468" s="12">
        <v>43930</v>
      </c>
      <c r="B468" s="3">
        <v>96</v>
      </c>
      <c r="C468" s="3">
        <v>96</v>
      </c>
      <c r="D468" s="3">
        <f>C468-B468</f>
        <v>0</v>
      </c>
    </row>
    <row r="469" spans="1:4">
      <c r="A469" s="12">
        <v>43931</v>
      </c>
      <c r="B469" s="3">
        <v>96</v>
      </c>
      <c r="C469" s="3">
        <v>96</v>
      </c>
      <c r="D469" s="3">
        <f>C469-B469</f>
        <v>0</v>
      </c>
    </row>
    <row r="470" spans="1:4">
      <c r="A470" s="12">
        <v>43932</v>
      </c>
      <c r="B470" s="3">
        <v>96</v>
      </c>
      <c r="C470" s="3">
        <v>96</v>
      </c>
      <c r="D470" s="3">
        <f>C470-B470</f>
        <v>0</v>
      </c>
    </row>
    <row r="471" spans="1:4">
      <c r="A471" s="12">
        <v>43933</v>
      </c>
      <c r="B471" s="3">
        <v>96</v>
      </c>
      <c r="C471" s="3">
        <v>96</v>
      </c>
      <c r="D471" s="3">
        <f>C471-B471</f>
        <v>0</v>
      </c>
    </row>
    <row r="472" spans="1:4">
      <c r="A472" s="12">
        <v>43934</v>
      </c>
      <c r="B472" s="3">
        <v>96</v>
      </c>
      <c r="C472" s="3">
        <v>96</v>
      </c>
      <c r="D472" s="3">
        <f>C472-B472</f>
        <v>0</v>
      </c>
    </row>
    <row r="473" spans="1:4">
      <c r="A473" s="12">
        <v>43935</v>
      </c>
      <c r="B473" s="3">
        <v>96</v>
      </c>
      <c r="C473" s="3">
        <v>96</v>
      </c>
      <c r="D473" s="3">
        <f>C473-B473</f>
        <v>0</v>
      </c>
    </row>
    <row r="474" spans="1:4">
      <c r="A474" s="12">
        <v>43936</v>
      </c>
      <c r="B474" s="3">
        <v>96</v>
      </c>
      <c r="C474" s="3">
        <v>96</v>
      </c>
      <c r="D474" s="3">
        <f>C474-B474</f>
        <v>0</v>
      </c>
    </row>
    <row r="475" spans="1:4">
      <c r="A475" s="12">
        <v>43937</v>
      </c>
      <c r="B475" s="3">
        <v>96</v>
      </c>
      <c r="C475" s="3">
        <v>96</v>
      </c>
      <c r="D475" s="3">
        <f>C475-B475</f>
        <v>0</v>
      </c>
    </row>
    <row r="476" spans="1:4">
      <c r="A476" s="12">
        <v>43938</v>
      </c>
      <c r="B476" s="3">
        <v>96</v>
      </c>
      <c r="C476" s="3">
        <v>96</v>
      </c>
      <c r="D476" s="3">
        <f>C476-B476</f>
        <v>0</v>
      </c>
    </row>
    <row r="477" spans="1:4">
      <c r="A477" s="12">
        <v>43939</v>
      </c>
      <c r="B477" s="3">
        <v>96</v>
      </c>
      <c r="C477" s="3">
        <v>96</v>
      </c>
      <c r="D477" s="3">
        <f>C477-B477</f>
        <v>0</v>
      </c>
    </row>
    <row r="478" spans="1:4">
      <c r="A478" s="12">
        <v>43940</v>
      </c>
      <c r="B478" s="3">
        <v>96</v>
      </c>
      <c r="C478" s="3">
        <v>96</v>
      </c>
      <c r="D478" s="3">
        <f>C478-B478</f>
        <v>0</v>
      </c>
    </row>
    <row r="479" spans="1:4">
      <c r="A479" s="12">
        <v>43941</v>
      </c>
      <c r="B479" s="3">
        <v>96</v>
      </c>
      <c r="C479" s="3">
        <v>96</v>
      </c>
      <c r="D479" s="3">
        <f>C479-B479</f>
        <v>0</v>
      </c>
    </row>
    <row r="480" spans="1:4">
      <c r="A480" s="12">
        <v>43942</v>
      </c>
      <c r="B480" s="3">
        <v>96</v>
      </c>
      <c r="C480" s="3">
        <v>96</v>
      </c>
      <c r="D480" s="3">
        <f>C480-B480</f>
        <v>0</v>
      </c>
    </row>
    <row r="481" spans="1:4">
      <c r="A481" s="12">
        <v>43943</v>
      </c>
      <c r="B481" s="3">
        <v>96</v>
      </c>
      <c r="C481" s="3">
        <v>96</v>
      </c>
      <c r="D481" s="3">
        <f>C481-B481</f>
        <v>0</v>
      </c>
    </row>
    <row r="482" spans="1:4">
      <c r="A482" s="12">
        <v>43944</v>
      </c>
      <c r="B482" s="3">
        <v>96</v>
      </c>
      <c r="C482" s="3">
        <v>96</v>
      </c>
      <c r="D482" s="3">
        <f>C482-B482</f>
        <v>0</v>
      </c>
    </row>
    <row r="483" spans="1:4">
      <c r="A483" s="12">
        <v>43945</v>
      </c>
      <c r="B483" s="3">
        <v>96</v>
      </c>
      <c r="C483" s="3">
        <v>96</v>
      </c>
      <c r="D483" s="3">
        <f>C483-B483</f>
        <v>0</v>
      </c>
    </row>
    <row r="484" spans="1:4">
      <c r="A484" s="12">
        <v>43946</v>
      </c>
      <c r="B484" s="3">
        <v>96</v>
      </c>
      <c r="C484" s="3">
        <v>96</v>
      </c>
      <c r="D484" s="3">
        <f>C484-B484</f>
        <v>0</v>
      </c>
    </row>
    <row r="485" spans="1:4">
      <c r="A485" s="12">
        <v>43947</v>
      </c>
      <c r="B485" s="3">
        <v>96</v>
      </c>
      <c r="C485" s="3">
        <v>96</v>
      </c>
      <c r="D485" s="3">
        <f>C485-B485</f>
        <v>0</v>
      </c>
    </row>
    <row r="486" spans="1:4">
      <c r="A486" s="12">
        <v>43948</v>
      </c>
      <c r="B486" s="3">
        <v>96</v>
      </c>
      <c r="C486" s="3">
        <v>96</v>
      </c>
      <c r="D486" s="3">
        <f>C486-B486</f>
        <v>0</v>
      </c>
    </row>
    <row r="487" spans="1:4">
      <c r="A487" s="12">
        <v>43949</v>
      </c>
      <c r="B487" s="3">
        <v>96</v>
      </c>
      <c r="C487" s="3">
        <v>96</v>
      </c>
      <c r="D487" s="3">
        <f>C487-B487</f>
        <v>0</v>
      </c>
    </row>
    <row r="488" spans="1:4">
      <c r="A488" s="12">
        <v>43950</v>
      </c>
      <c r="B488" s="3">
        <v>96</v>
      </c>
      <c r="C488" s="3">
        <v>96</v>
      </c>
      <c r="D488" s="3">
        <f>C488-B488</f>
        <v>0</v>
      </c>
    </row>
    <row r="489" spans="1:4">
      <c r="A489" s="12">
        <v>43951</v>
      </c>
      <c r="B489" s="3">
        <v>96</v>
      </c>
      <c r="C489" s="3">
        <v>96</v>
      </c>
      <c r="D489" s="3">
        <f>C489-B489</f>
        <v>0</v>
      </c>
    </row>
    <row r="490" spans="1:4">
      <c r="A490" s="12">
        <v>43952</v>
      </c>
      <c r="B490" s="3">
        <v>96</v>
      </c>
      <c r="C490" s="3">
        <v>96</v>
      </c>
      <c r="D490" s="3">
        <f>C490-B490</f>
        <v>0</v>
      </c>
    </row>
    <row r="491" spans="1:4">
      <c r="A491" s="12">
        <v>43953</v>
      </c>
      <c r="B491" s="3">
        <v>96</v>
      </c>
      <c r="C491" s="3">
        <v>96</v>
      </c>
      <c r="D491" s="3">
        <f>C491-B491</f>
        <v>0</v>
      </c>
    </row>
    <row r="492" spans="1:4">
      <c r="A492" s="12">
        <v>43954</v>
      </c>
      <c r="B492" s="3">
        <v>96</v>
      </c>
      <c r="C492" s="3">
        <v>96</v>
      </c>
      <c r="D492" s="3">
        <f>C492-B492</f>
        <v>0</v>
      </c>
    </row>
    <row r="493" spans="1:4">
      <c r="A493" s="12">
        <v>43955</v>
      </c>
      <c r="B493" s="3">
        <v>96</v>
      </c>
      <c r="C493" s="3">
        <v>96</v>
      </c>
      <c r="D493" s="3">
        <f>C493-B493</f>
        <v>0</v>
      </c>
    </row>
    <row r="494" spans="1:4">
      <c r="A494" s="12">
        <v>43956</v>
      </c>
      <c r="B494" s="3">
        <v>96</v>
      </c>
      <c r="C494" s="3">
        <v>96</v>
      </c>
      <c r="D494" s="3">
        <f>C494-B494</f>
        <v>0</v>
      </c>
    </row>
    <row r="495" spans="1:4">
      <c r="A495" s="12">
        <v>43957</v>
      </c>
      <c r="B495" s="3">
        <v>96</v>
      </c>
      <c r="C495" s="3">
        <v>96</v>
      </c>
      <c r="D495" s="3">
        <f>C495-B495</f>
        <v>0</v>
      </c>
    </row>
    <row r="496" spans="1:4">
      <c r="A496" s="12">
        <v>43958</v>
      </c>
      <c r="B496" s="3">
        <v>96</v>
      </c>
      <c r="C496" s="3">
        <v>96</v>
      </c>
      <c r="D496" s="3">
        <f>C496-B496</f>
        <v>0</v>
      </c>
    </row>
    <row r="497" spans="1:4">
      <c r="A497" s="12">
        <v>43959</v>
      </c>
      <c r="B497" s="3">
        <v>96</v>
      </c>
      <c r="C497" s="3">
        <v>96</v>
      </c>
      <c r="D497" s="3">
        <f>C497-B497</f>
        <v>0</v>
      </c>
    </row>
    <row r="498" spans="1:4">
      <c r="A498" s="12">
        <v>43960</v>
      </c>
      <c r="B498" s="3">
        <v>96</v>
      </c>
      <c r="C498" s="3">
        <v>96</v>
      </c>
      <c r="D498" s="3">
        <f>C498-B498</f>
        <v>0</v>
      </c>
    </row>
    <row r="499" spans="1:4">
      <c r="A499" s="12">
        <v>43961</v>
      </c>
      <c r="B499" s="3">
        <v>96</v>
      </c>
      <c r="C499" s="3">
        <v>96</v>
      </c>
      <c r="D499" s="3">
        <f>C499-B499</f>
        <v>0</v>
      </c>
    </row>
    <row r="500" spans="1:4">
      <c r="A500" s="12">
        <v>43962</v>
      </c>
      <c r="B500" s="3">
        <v>96</v>
      </c>
      <c r="C500" s="3">
        <v>96</v>
      </c>
      <c r="D500" s="3">
        <f>C500-B500</f>
        <v>0</v>
      </c>
    </row>
    <row r="501" spans="1:4">
      <c r="A501" s="12">
        <v>43963</v>
      </c>
      <c r="B501" s="3">
        <v>96</v>
      </c>
      <c r="C501" s="3">
        <v>96</v>
      </c>
      <c r="D501" s="3">
        <f>C501-B501</f>
        <v>0</v>
      </c>
    </row>
    <row r="502" spans="1:4">
      <c r="A502" s="12">
        <v>43964</v>
      </c>
      <c r="B502" s="3">
        <v>96</v>
      </c>
      <c r="C502" s="3">
        <v>96</v>
      </c>
      <c r="D502" s="3">
        <f>C502-B502</f>
        <v>0</v>
      </c>
    </row>
    <row r="503" spans="1:4">
      <c r="A503" s="12">
        <v>43965</v>
      </c>
      <c r="B503" s="3">
        <v>96</v>
      </c>
      <c r="C503" s="3">
        <v>96</v>
      </c>
      <c r="D503" s="3">
        <f>C503-B503</f>
        <v>0</v>
      </c>
    </row>
    <row r="504" spans="1:4">
      <c r="A504" s="12">
        <v>43966</v>
      </c>
      <c r="B504" s="3">
        <v>96</v>
      </c>
      <c r="C504" s="3">
        <v>96</v>
      </c>
      <c r="D504" s="3">
        <f>C504-B504</f>
        <v>0</v>
      </c>
    </row>
    <row r="505" spans="1:4">
      <c r="A505" s="12">
        <v>43967</v>
      </c>
      <c r="B505" s="3">
        <v>96</v>
      </c>
      <c r="C505" s="3">
        <v>96</v>
      </c>
      <c r="D505" s="3">
        <f>C505-B505</f>
        <v>0</v>
      </c>
    </row>
    <row r="506" spans="1:4">
      <c r="A506" s="12">
        <v>43968</v>
      </c>
      <c r="B506" s="3">
        <v>96</v>
      </c>
      <c r="C506" s="3">
        <v>96</v>
      </c>
      <c r="D506" s="3">
        <f>C506-B506</f>
        <v>0</v>
      </c>
    </row>
    <row r="507" spans="1:4">
      <c r="A507" s="12">
        <v>43969</v>
      </c>
      <c r="B507" s="3">
        <v>96</v>
      </c>
      <c r="C507" s="3">
        <v>96</v>
      </c>
      <c r="D507" s="3">
        <f>C507-B507</f>
        <v>0</v>
      </c>
    </row>
    <row r="508" spans="1:4">
      <c r="A508" s="12">
        <v>43970</v>
      </c>
      <c r="B508" s="3">
        <v>96</v>
      </c>
      <c r="C508" s="3">
        <v>96</v>
      </c>
      <c r="D508" s="3">
        <f>C508-B508</f>
        <v>0</v>
      </c>
    </row>
    <row r="509" spans="1:4">
      <c r="A509" s="12">
        <v>43971</v>
      </c>
      <c r="B509" s="3">
        <v>96</v>
      </c>
      <c r="C509" s="3">
        <v>96</v>
      </c>
      <c r="D509" s="3">
        <f>C509-B509</f>
        <v>0</v>
      </c>
    </row>
    <row r="510" spans="1:4">
      <c r="A510" s="12">
        <v>43972</v>
      </c>
      <c r="B510" s="3">
        <v>96</v>
      </c>
      <c r="C510" s="3">
        <v>96</v>
      </c>
      <c r="D510" s="3">
        <f>C510-B510</f>
        <v>0</v>
      </c>
    </row>
    <row r="511" spans="1:4">
      <c r="A511" s="12">
        <v>43973</v>
      </c>
      <c r="B511" s="3">
        <v>96</v>
      </c>
      <c r="C511" s="3">
        <v>96</v>
      </c>
      <c r="D511" s="3">
        <f>C511-B511</f>
        <v>0</v>
      </c>
    </row>
    <row r="512" spans="1:4">
      <c r="A512" s="12">
        <v>43974</v>
      </c>
      <c r="B512" s="3">
        <v>96</v>
      </c>
      <c r="C512" s="3">
        <v>96</v>
      </c>
      <c r="D512" s="3">
        <f>C512-B512</f>
        <v>0</v>
      </c>
    </row>
    <row r="513" spans="1:4">
      <c r="A513" s="12">
        <v>43975</v>
      </c>
      <c r="B513" s="3">
        <v>96</v>
      </c>
      <c r="C513" s="3">
        <v>96</v>
      </c>
      <c r="D513" s="3">
        <f>C513-B513</f>
        <v>0</v>
      </c>
    </row>
    <row r="514" spans="1:4">
      <c r="A514" s="12">
        <v>43976</v>
      </c>
      <c r="B514" s="3">
        <v>96</v>
      </c>
      <c r="C514" s="3">
        <v>96</v>
      </c>
      <c r="D514" s="3">
        <f>C514-B514</f>
        <v>0</v>
      </c>
    </row>
    <row r="515" spans="1:4">
      <c r="A515" s="12">
        <v>43977</v>
      </c>
      <c r="B515" s="3">
        <v>96</v>
      </c>
      <c r="C515" s="3">
        <v>96</v>
      </c>
      <c r="D515" s="3">
        <f>C515-B515</f>
        <v>0</v>
      </c>
    </row>
    <row r="516" spans="1:4">
      <c r="A516" s="12">
        <v>43978</v>
      </c>
      <c r="B516" s="3">
        <v>96</v>
      </c>
      <c r="C516" s="3">
        <v>96</v>
      </c>
      <c r="D516" s="3">
        <f>C516-B516</f>
        <v>0</v>
      </c>
    </row>
    <row r="517" spans="1:4">
      <c r="A517" s="12">
        <v>43979</v>
      </c>
      <c r="B517" s="3">
        <v>96</v>
      </c>
      <c r="C517" s="3">
        <v>96</v>
      </c>
      <c r="D517" s="3">
        <f>C517-B517</f>
        <v>0</v>
      </c>
    </row>
    <row r="518" spans="1:4">
      <c r="A518" s="12">
        <v>43980</v>
      </c>
      <c r="B518" s="3">
        <v>96</v>
      </c>
      <c r="C518" s="3">
        <v>96</v>
      </c>
      <c r="D518" s="3">
        <f>C518-B518</f>
        <v>0</v>
      </c>
    </row>
    <row r="519" spans="1:4">
      <c r="A519" s="12">
        <v>43981</v>
      </c>
      <c r="B519" s="3">
        <v>96</v>
      </c>
      <c r="C519" s="3">
        <v>96</v>
      </c>
      <c r="D519" s="3">
        <f>C519-B519</f>
        <v>0</v>
      </c>
    </row>
    <row r="520" spans="1:4">
      <c r="A520" s="12">
        <v>43982</v>
      </c>
      <c r="B520" s="3">
        <v>96</v>
      </c>
      <c r="C520" s="3">
        <v>96</v>
      </c>
      <c r="D520" s="3">
        <f>C520-B520</f>
        <v>0</v>
      </c>
    </row>
    <row r="521" spans="1:4">
      <c r="A521" s="12">
        <v>43983</v>
      </c>
      <c r="B521" s="3">
        <v>96</v>
      </c>
      <c r="C521" s="3">
        <v>96</v>
      </c>
      <c r="D521" s="3">
        <f>C521-B521</f>
        <v>0</v>
      </c>
    </row>
    <row r="522" spans="1:4">
      <c r="A522" s="12">
        <v>43984</v>
      </c>
      <c r="B522" s="3">
        <v>96</v>
      </c>
      <c r="C522" s="3">
        <v>96</v>
      </c>
      <c r="D522" s="3">
        <f>C522-B522</f>
        <v>0</v>
      </c>
    </row>
    <row r="523" spans="1:4">
      <c r="A523" s="12">
        <v>43985</v>
      </c>
      <c r="B523" s="3">
        <v>96</v>
      </c>
      <c r="C523" s="3">
        <v>96</v>
      </c>
      <c r="D523" s="3">
        <f>C523-B523</f>
        <v>0</v>
      </c>
    </row>
    <row r="524" spans="1:4">
      <c r="A524" s="12">
        <v>43986</v>
      </c>
      <c r="B524" s="3">
        <v>96</v>
      </c>
      <c r="C524" s="3">
        <v>96</v>
      </c>
      <c r="D524" s="3">
        <f>C524-B524</f>
        <v>0</v>
      </c>
    </row>
    <row r="525" spans="1:4">
      <c r="A525" s="12">
        <v>43987</v>
      </c>
      <c r="B525" s="3">
        <v>96</v>
      </c>
      <c r="C525" s="3">
        <v>96</v>
      </c>
      <c r="D525" s="3">
        <f>C525-B525</f>
        <v>0</v>
      </c>
    </row>
    <row r="526" spans="1:4">
      <c r="A526" s="12">
        <v>43988</v>
      </c>
      <c r="B526" s="3">
        <v>96</v>
      </c>
      <c r="C526" s="3">
        <v>96</v>
      </c>
      <c r="D526" s="3">
        <f>C526-B526</f>
        <v>0</v>
      </c>
    </row>
    <row r="527" spans="1:4">
      <c r="A527" s="12">
        <v>43989</v>
      </c>
      <c r="B527" s="3">
        <v>96</v>
      </c>
      <c r="C527" s="3">
        <v>96</v>
      </c>
      <c r="D527" s="3">
        <f>C527-B527</f>
        <v>0</v>
      </c>
    </row>
    <row r="528" spans="1:4">
      <c r="A528" s="12">
        <v>43990</v>
      </c>
      <c r="B528" s="3">
        <v>96</v>
      </c>
      <c r="C528" s="3">
        <v>96</v>
      </c>
      <c r="D528" s="3">
        <f>C528-B528</f>
        <v>0</v>
      </c>
    </row>
    <row r="529" spans="1:4">
      <c r="A529" s="12">
        <v>43991</v>
      </c>
      <c r="B529" s="3">
        <v>96</v>
      </c>
      <c r="C529" s="3">
        <v>96</v>
      </c>
      <c r="D529" s="3">
        <f>C529-B529</f>
        <v>0</v>
      </c>
    </row>
    <row r="530" spans="1:4">
      <c r="A530" s="12">
        <v>43992</v>
      </c>
      <c r="B530" s="3">
        <v>96</v>
      </c>
      <c r="C530" s="3">
        <v>96</v>
      </c>
      <c r="D530" s="3">
        <f>C530-B530</f>
        <v>0</v>
      </c>
    </row>
    <row r="531" spans="1:4">
      <c r="A531" s="12">
        <v>43993</v>
      </c>
      <c r="B531" s="3">
        <v>96</v>
      </c>
      <c r="C531" s="3">
        <v>96</v>
      </c>
      <c r="D531" s="3">
        <f>C531-B531</f>
        <v>0</v>
      </c>
    </row>
    <row r="532" spans="1:4">
      <c r="A532" s="12">
        <v>43994</v>
      </c>
      <c r="B532" s="3">
        <v>96</v>
      </c>
      <c r="C532" s="3">
        <v>96</v>
      </c>
      <c r="D532" s="3">
        <f>C532-B532</f>
        <v>0</v>
      </c>
    </row>
    <row r="533" spans="1:4">
      <c r="A533" s="12">
        <v>43995</v>
      </c>
      <c r="B533" s="3">
        <v>96</v>
      </c>
      <c r="C533" s="3">
        <v>96</v>
      </c>
      <c r="D533" s="3">
        <f>C533-B533</f>
        <v>0</v>
      </c>
    </row>
    <row r="534" spans="1:4">
      <c r="A534" s="12">
        <v>43996</v>
      </c>
      <c r="B534" s="3">
        <v>96</v>
      </c>
      <c r="C534" s="3">
        <v>96</v>
      </c>
      <c r="D534" s="3">
        <f>C534-B534</f>
        <v>0</v>
      </c>
    </row>
    <row r="535" spans="1:4">
      <c r="A535" s="12">
        <v>43997</v>
      </c>
      <c r="B535" s="3">
        <v>96</v>
      </c>
      <c r="C535" s="3">
        <v>96</v>
      </c>
      <c r="D535" s="3">
        <f>C535-B535</f>
        <v>0</v>
      </c>
    </row>
    <row r="536" spans="1:4">
      <c r="A536" s="12">
        <v>43998</v>
      </c>
      <c r="B536" s="3">
        <v>96</v>
      </c>
      <c r="C536" s="3">
        <v>96</v>
      </c>
      <c r="D536" s="3">
        <f>C536-B536</f>
        <v>0</v>
      </c>
    </row>
    <row r="537" spans="1:4">
      <c r="A537" s="12">
        <v>43999</v>
      </c>
      <c r="B537" s="3">
        <v>96</v>
      </c>
      <c r="C537" s="3">
        <v>96</v>
      </c>
      <c r="D537" s="3">
        <f>C537-B537</f>
        <v>0</v>
      </c>
    </row>
    <row r="538" spans="1:4">
      <c r="A538" s="12">
        <v>44000</v>
      </c>
      <c r="B538" s="3">
        <v>96</v>
      </c>
      <c r="C538" s="3">
        <v>96</v>
      </c>
      <c r="D538" s="3">
        <f>C538-B538</f>
        <v>0</v>
      </c>
    </row>
    <row r="539" spans="1:4">
      <c r="A539" s="12">
        <v>44001</v>
      </c>
      <c r="B539" s="3">
        <v>96</v>
      </c>
      <c r="C539" s="3">
        <v>96</v>
      </c>
      <c r="D539" s="3">
        <f>C539-B539</f>
        <v>0</v>
      </c>
    </row>
    <row r="540" spans="1:4">
      <c r="A540" s="12">
        <v>44002</v>
      </c>
      <c r="B540" s="3">
        <v>96</v>
      </c>
      <c r="C540" s="3">
        <v>96</v>
      </c>
      <c r="D540" s="3">
        <f>C540-B540</f>
        <v>0</v>
      </c>
    </row>
    <row r="541" spans="1:4">
      <c r="A541" s="12">
        <v>44003</v>
      </c>
      <c r="B541" s="3">
        <v>96</v>
      </c>
      <c r="C541" s="3">
        <v>96</v>
      </c>
      <c r="D541" s="3">
        <f>C541-B541</f>
        <v>0</v>
      </c>
    </row>
    <row r="542" spans="1:4">
      <c r="A542" s="12">
        <v>44004</v>
      </c>
      <c r="B542" s="3">
        <v>96</v>
      </c>
      <c r="C542" s="3">
        <v>96</v>
      </c>
      <c r="D542" s="3">
        <f>C542-B542</f>
        <v>0</v>
      </c>
    </row>
    <row r="543" spans="1:4">
      <c r="A543" s="12">
        <v>44005</v>
      </c>
      <c r="B543" s="3">
        <v>96</v>
      </c>
      <c r="C543" s="3">
        <v>96</v>
      </c>
      <c r="D543" s="3">
        <f>C543-B543</f>
        <v>0</v>
      </c>
    </row>
    <row r="544" spans="1:4">
      <c r="A544" s="12">
        <v>44006</v>
      </c>
      <c r="B544" s="3">
        <v>96</v>
      </c>
      <c r="C544" s="3">
        <v>96</v>
      </c>
      <c r="D544" s="3">
        <f>C544-B544</f>
        <v>0</v>
      </c>
    </row>
    <row r="545" spans="1:4">
      <c r="A545" s="12">
        <v>44007</v>
      </c>
      <c r="B545" s="3">
        <v>96</v>
      </c>
      <c r="C545" s="3">
        <v>96</v>
      </c>
      <c r="D545" s="3">
        <f>C545-B545</f>
        <v>0</v>
      </c>
    </row>
    <row r="546" spans="1:4">
      <c r="A546" s="12">
        <v>44008</v>
      </c>
      <c r="B546" s="3">
        <v>96</v>
      </c>
      <c r="C546" s="3">
        <v>96</v>
      </c>
      <c r="D546" s="3">
        <f>C546-B546</f>
        <v>0</v>
      </c>
    </row>
    <row r="547" spans="1:4">
      <c r="A547" s="12">
        <v>44009</v>
      </c>
      <c r="B547" s="3">
        <v>96</v>
      </c>
      <c r="C547" s="3">
        <v>96</v>
      </c>
      <c r="D547" s="3">
        <f>C547-B547</f>
        <v>0</v>
      </c>
    </row>
    <row r="548" spans="1:4">
      <c r="A548" s="12">
        <v>44010</v>
      </c>
      <c r="B548" s="3">
        <v>96</v>
      </c>
      <c r="C548" s="3">
        <v>96</v>
      </c>
      <c r="D548" s="3">
        <f>C548-B548</f>
        <v>0</v>
      </c>
    </row>
    <row r="549" spans="1:4">
      <c r="A549" s="12">
        <v>44011</v>
      </c>
      <c r="B549" s="3">
        <v>96</v>
      </c>
      <c r="C549" s="3">
        <v>96</v>
      </c>
      <c r="D549" s="3">
        <f>C549-B549</f>
        <v>0</v>
      </c>
    </row>
    <row r="550" spans="1:4">
      <c r="A550" s="12">
        <v>44012</v>
      </c>
      <c r="B550" s="3">
        <v>96</v>
      </c>
      <c r="C550" s="3">
        <v>96</v>
      </c>
      <c r="D550" s="3">
        <f>C550-B550</f>
        <v>0</v>
      </c>
    </row>
    <row r="551" spans="1:4">
      <c r="A551" s="12">
        <v>44013</v>
      </c>
      <c r="B551" s="3">
        <v>96</v>
      </c>
      <c r="C551" s="3">
        <v>96</v>
      </c>
      <c r="D551" s="3">
        <f>C551-B551</f>
        <v>0</v>
      </c>
    </row>
    <row r="552" spans="1:4">
      <c r="A552" s="12">
        <v>44014</v>
      </c>
      <c r="B552" s="3">
        <v>96</v>
      </c>
      <c r="C552" s="3">
        <v>96</v>
      </c>
      <c r="D552" s="3">
        <f>C552-B552</f>
        <v>0</v>
      </c>
    </row>
    <row r="553" spans="1:4">
      <c r="A553" s="12">
        <v>44015</v>
      </c>
      <c r="B553" s="3">
        <v>96</v>
      </c>
      <c r="C553" s="3">
        <v>96</v>
      </c>
      <c r="D553" s="3">
        <f>C553-B553</f>
        <v>0</v>
      </c>
    </row>
    <row r="554" spans="1:4">
      <c r="A554" s="12">
        <v>44016</v>
      </c>
      <c r="B554" s="3">
        <v>96</v>
      </c>
      <c r="C554" s="3">
        <v>96</v>
      </c>
      <c r="D554" s="3">
        <f>C554-B554</f>
        <v>0</v>
      </c>
    </row>
    <row r="555" spans="1:4">
      <c r="A555" s="12">
        <v>44017</v>
      </c>
      <c r="B555" s="3">
        <v>96</v>
      </c>
      <c r="C555" s="3">
        <v>96</v>
      </c>
      <c r="D555" s="3">
        <f>C555-B555</f>
        <v>0</v>
      </c>
    </row>
    <row r="556" spans="1:4">
      <c r="A556" s="12">
        <v>44018</v>
      </c>
      <c r="B556" s="3">
        <v>96</v>
      </c>
      <c r="C556" s="3">
        <v>96</v>
      </c>
      <c r="D556" s="3">
        <f>C556-B556</f>
        <v>0</v>
      </c>
    </row>
    <row r="557" spans="1:4">
      <c r="A557" s="12">
        <v>44019</v>
      </c>
      <c r="B557" s="3">
        <v>96</v>
      </c>
      <c r="C557" s="3">
        <v>96</v>
      </c>
      <c r="D557" s="3">
        <f>C557-B557</f>
        <v>0</v>
      </c>
    </row>
    <row r="558" spans="1:4">
      <c r="A558" s="12">
        <v>44020</v>
      </c>
      <c r="B558" s="3">
        <v>96</v>
      </c>
      <c r="C558" s="3">
        <v>96</v>
      </c>
      <c r="D558" s="3">
        <f>C558-B558</f>
        <v>0</v>
      </c>
    </row>
    <row r="559" spans="1:4">
      <c r="A559" s="12">
        <v>44021</v>
      </c>
      <c r="B559" s="3">
        <v>96</v>
      </c>
      <c r="C559" s="3">
        <v>96</v>
      </c>
      <c r="D559" s="3">
        <f>C559-B559</f>
        <v>0</v>
      </c>
    </row>
    <row r="560" spans="1:4">
      <c r="A560" s="12">
        <v>44022</v>
      </c>
      <c r="B560" s="3">
        <v>96</v>
      </c>
      <c r="C560" s="3">
        <v>96</v>
      </c>
      <c r="D560" s="3">
        <f>C560-B560</f>
        <v>0</v>
      </c>
    </row>
    <row r="561" spans="1:4">
      <c r="A561" s="12">
        <v>44023</v>
      </c>
      <c r="B561" s="3">
        <v>96</v>
      </c>
      <c r="C561" s="3">
        <v>96</v>
      </c>
      <c r="D561" s="3">
        <f>C561-B561</f>
        <v>0</v>
      </c>
    </row>
    <row r="562" spans="1:4">
      <c r="A562" s="12">
        <v>44024</v>
      </c>
      <c r="B562" s="3">
        <v>96</v>
      </c>
      <c r="C562" s="3">
        <v>96</v>
      </c>
      <c r="D562" s="3">
        <f>C562-B562</f>
        <v>0</v>
      </c>
    </row>
    <row r="563" spans="1:4">
      <c r="A563" s="12">
        <v>44025</v>
      </c>
      <c r="B563" s="3">
        <v>96</v>
      </c>
      <c r="C563" s="3">
        <v>96</v>
      </c>
      <c r="D563" s="3">
        <f>C563-B563</f>
        <v>0</v>
      </c>
    </row>
    <row r="564" spans="1:4">
      <c r="A564" s="12">
        <v>44026</v>
      </c>
      <c r="B564" s="3">
        <v>96</v>
      </c>
      <c r="C564" s="3">
        <v>96</v>
      </c>
      <c r="D564" s="3">
        <f>C564-B564</f>
        <v>0</v>
      </c>
    </row>
    <row r="565" spans="1:4">
      <c r="A565" s="12">
        <v>44027</v>
      </c>
      <c r="B565" s="3">
        <v>96</v>
      </c>
      <c r="C565" s="3">
        <v>96</v>
      </c>
      <c r="D565" s="3">
        <f>C565-B565</f>
        <v>0</v>
      </c>
    </row>
    <row r="566" spans="1:4">
      <c r="A566" s="12">
        <v>44028</v>
      </c>
      <c r="B566" s="3">
        <v>96</v>
      </c>
      <c r="C566" s="3">
        <v>96</v>
      </c>
      <c r="D566" s="3">
        <f>C566-B566</f>
        <v>0</v>
      </c>
    </row>
    <row r="567" spans="1:4">
      <c r="A567" s="12">
        <v>44029</v>
      </c>
      <c r="B567" s="3">
        <v>96</v>
      </c>
      <c r="C567" s="3">
        <v>96</v>
      </c>
      <c r="D567" s="3">
        <f>C567-B567</f>
        <v>0</v>
      </c>
    </row>
    <row r="568" spans="1:4">
      <c r="A568" s="12">
        <v>44030</v>
      </c>
      <c r="B568" s="3">
        <v>96</v>
      </c>
      <c r="C568" s="3">
        <v>96</v>
      </c>
      <c r="D568" s="3">
        <f>C568-B568</f>
        <v>0</v>
      </c>
    </row>
    <row r="569" spans="1:4">
      <c r="A569" s="12">
        <v>44031</v>
      </c>
      <c r="B569" s="3">
        <v>96</v>
      </c>
      <c r="C569" s="3">
        <v>96</v>
      </c>
      <c r="D569" s="3">
        <f>C569-B569</f>
        <v>0</v>
      </c>
    </row>
    <row r="570" spans="1:4">
      <c r="A570" s="12">
        <v>44032</v>
      </c>
      <c r="B570" s="3">
        <v>96</v>
      </c>
      <c r="C570" s="3">
        <v>96</v>
      </c>
      <c r="D570" s="3">
        <f>C570-B570</f>
        <v>0</v>
      </c>
    </row>
    <row r="571" spans="1:4">
      <c r="A571" s="12">
        <v>44033</v>
      </c>
      <c r="B571" s="3">
        <v>96</v>
      </c>
      <c r="C571" s="3">
        <v>96</v>
      </c>
      <c r="D571" s="3">
        <f>C571-B571</f>
        <v>0</v>
      </c>
    </row>
    <row r="572" spans="1:4">
      <c r="A572" s="12">
        <v>44034</v>
      </c>
      <c r="B572" s="3">
        <v>96</v>
      </c>
      <c r="C572" s="3">
        <v>96</v>
      </c>
      <c r="D572" s="3">
        <f>C572-B572</f>
        <v>0</v>
      </c>
    </row>
    <row r="573" spans="1:4">
      <c r="A573" s="12">
        <v>44035</v>
      </c>
      <c r="B573" s="3">
        <v>96</v>
      </c>
      <c r="C573" s="3">
        <v>96</v>
      </c>
      <c r="D573" s="3">
        <f>C573-B573</f>
        <v>0</v>
      </c>
    </row>
    <row r="574" spans="1:4">
      <c r="A574" s="12">
        <v>44036</v>
      </c>
      <c r="B574" s="3">
        <v>96</v>
      </c>
      <c r="C574" s="3">
        <v>96</v>
      </c>
      <c r="D574" s="3">
        <f>C574-B574</f>
        <v>0</v>
      </c>
    </row>
    <row r="575" spans="1:4">
      <c r="A575" s="12">
        <v>44037</v>
      </c>
      <c r="B575" s="3">
        <v>96</v>
      </c>
      <c r="C575" s="3">
        <v>96</v>
      </c>
      <c r="D575" s="3">
        <f>C575-B575</f>
        <v>0</v>
      </c>
    </row>
    <row r="576" spans="1:4">
      <c r="A576" s="12">
        <v>44038</v>
      </c>
      <c r="B576" s="3">
        <v>96</v>
      </c>
      <c r="C576" s="3">
        <v>96</v>
      </c>
      <c r="D576" s="3">
        <f>C576-B576</f>
        <v>0</v>
      </c>
    </row>
    <row r="577" spans="1:4">
      <c r="A577" s="12">
        <v>44039</v>
      </c>
      <c r="B577" s="3">
        <v>96</v>
      </c>
      <c r="C577" s="3">
        <v>96</v>
      </c>
      <c r="D577" s="3">
        <f>C577-B577</f>
        <v>0</v>
      </c>
    </row>
    <row r="578" spans="1:4">
      <c r="A578" s="12">
        <v>44040</v>
      </c>
      <c r="B578" s="3">
        <v>96</v>
      </c>
      <c r="C578" s="3">
        <v>96</v>
      </c>
      <c r="D578" s="3">
        <f>C578-B578</f>
        <v>0</v>
      </c>
    </row>
    <row r="579" spans="1:4">
      <c r="A579" s="12">
        <v>44041</v>
      </c>
      <c r="B579" s="3">
        <v>96</v>
      </c>
      <c r="C579" s="3">
        <v>96</v>
      </c>
      <c r="D579" s="3">
        <f>C579-B579</f>
        <v>0</v>
      </c>
    </row>
    <row r="580" spans="1:4">
      <c r="A580" s="12">
        <v>44042</v>
      </c>
      <c r="B580" s="3">
        <v>96</v>
      </c>
      <c r="C580" s="3">
        <v>96</v>
      </c>
      <c r="D580" s="3">
        <f>C580-B580</f>
        <v>0</v>
      </c>
    </row>
    <row r="581" spans="1:4">
      <c r="A581" s="12">
        <v>44043</v>
      </c>
      <c r="B581" s="3">
        <v>96</v>
      </c>
      <c r="C581" s="3">
        <v>96</v>
      </c>
      <c r="D581" s="3">
        <f>C581-B581</f>
        <v>0</v>
      </c>
    </row>
    <row r="582" spans="1:4">
      <c r="A582" s="12">
        <v>44044</v>
      </c>
      <c r="B582" s="3">
        <v>96</v>
      </c>
      <c r="C582" s="3">
        <v>96</v>
      </c>
      <c r="D582" s="3">
        <f>C582-B582</f>
        <v>0</v>
      </c>
    </row>
    <row r="583" spans="1:4">
      <c r="A583" s="12">
        <v>44045</v>
      </c>
      <c r="B583" s="3">
        <v>96</v>
      </c>
      <c r="C583" s="3">
        <v>96</v>
      </c>
      <c r="D583" s="3">
        <f>C583-B583</f>
        <v>0</v>
      </c>
    </row>
    <row r="584" spans="1:4">
      <c r="A584" s="12">
        <v>44046</v>
      </c>
      <c r="B584" s="3">
        <v>96</v>
      </c>
      <c r="C584" s="3">
        <v>96</v>
      </c>
      <c r="D584" s="3">
        <f>C584-B584</f>
        <v>0</v>
      </c>
    </row>
    <row r="585" spans="1:4">
      <c r="A585" s="12">
        <v>44047</v>
      </c>
      <c r="B585" s="3">
        <v>96</v>
      </c>
      <c r="C585" s="3">
        <v>96</v>
      </c>
      <c r="D585" s="3">
        <f>C585-B585</f>
        <v>0</v>
      </c>
    </row>
    <row r="586" spans="1:4">
      <c r="A586" s="12">
        <v>44048</v>
      </c>
      <c r="B586" s="3">
        <v>96</v>
      </c>
      <c r="C586" s="3">
        <v>96</v>
      </c>
      <c r="D586" s="3">
        <f>C586-B586</f>
        <v>0</v>
      </c>
    </row>
    <row r="587" spans="1:4">
      <c r="A587" s="12">
        <v>44049</v>
      </c>
      <c r="B587" s="3">
        <v>96</v>
      </c>
      <c r="C587" s="3">
        <v>96</v>
      </c>
      <c r="D587" s="3">
        <f>C587-B587</f>
        <v>0</v>
      </c>
    </row>
    <row r="588" spans="1:4">
      <c r="A588" s="12">
        <v>44050</v>
      </c>
      <c r="B588" s="3">
        <v>96</v>
      </c>
      <c r="C588" s="3">
        <v>96</v>
      </c>
      <c r="D588" s="3">
        <f>C588-B588</f>
        <v>0</v>
      </c>
    </row>
    <row r="589" spans="1:4">
      <c r="A589" s="12">
        <v>44051</v>
      </c>
      <c r="B589" s="3">
        <v>96</v>
      </c>
      <c r="C589" s="3">
        <v>96</v>
      </c>
      <c r="D589" s="3">
        <f>C589-B589</f>
        <v>0</v>
      </c>
    </row>
    <row r="590" spans="1:4">
      <c r="A590" s="12">
        <v>44052</v>
      </c>
      <c r="B590" s="3">
        <v>96</v>
      </c>
      <c r="C590" s="3">
        <v>96</v>
      </c>
      <c r="D590" s="3">
        <f>C590-B590</f>
        <v>0</v>
      </c>
    </row>
    <row r="591" spans="1:4">
      <c r="A591" s="12">
        <v>44053</v>
      </c>
      <c r="B591" s="3">
        <v>96</v>
      </c>
      <c r="C591" s="3">
        <v>96</v>
      </c>
      <c r="D591" s="3">
        <f>C591-B591</f>
        <v>0</v>
      </c>
    </row>
    <row r="592" spans="1:4">
      <c r="A592" s="12">
        <v>44054</v>
      </c>
      <c r="B592" s="3">
        <v>96</v>
      </c>
      <c r="C592" s="3">
        <v>96</v>
      </c>
      <c r="D592" s="3">
        <f>C592-B592</f>
        <v>0</v>
      </c>
    </row>
    <row r="593" spans="1:4">
      <c r="A593" s="12">
        <v>44055</v>
      </c>
      <c r="B593" s="3">
        <v>96</v>
      </c>
      <c r="C593" s="3">
        <v>96</v>
      </c>
      <c r="D593" s="3">
        <f>C593-B593</f>
        <v>0</v>
      </c>
    </row>
    <row r="594" spans="1:4">
      <c r="A594" s="12">
        <v>44056</v>
      </c>
      <c r="B594" s="3">
        <v>96</v>
      </c>
      <c r="C594" s="3">
        <v>96</v>
      </c>
      <c r="D594" s="3">
        <f>C594-B594</f>
        <v>0</v>
      </c>
    </row>
    <row r="595" spans="1:4">
      <c r="A595" s="12">
        <v>44057</v>
      </c>
      <c r="B595" s="3">
        <v>96</v>
      </c>
      <c r="C595" s="3">
        <v>96</v>
      </c>
      <c r="D595" s="3">
        <f>C595-B595</f>
        <v>0</v>
      </c>
    </row>
    <row r="596" spans="1:4">
      <c r="A596" s="12">
        <v>44058</v>
      </c>
      <c r="B596" s="3">
        <v>96</v>
      </c>
      <c r="C596" s="3">
        <v>96</v>
      </c>
      <c r="D596" s="3">
        <f>C596-B596</f>
        <v>0</v>
      </c>
    </row>
    <row r="597" spans="1:4">
      <c r="A597" s="12">
        <v>44059</v>
      </c>
      <c r="B597" s="3">
        <v>96</v>
      </c>
      <c r="C597" s="3">
        <v>96</v>
      </c>
      <c r="D597" s="3">
        <f>C597-B597</f>
        <v>0</v>
      </c>
    </row>
    <row r="598" spans="1:4">
      <c r="A598" s="12">
        <v>44060</v>
      </c>
      <c r="B598" s="3">
        <v>96</v>
      </c>
      <c r="C598" s="3">
        <v>96</v>
      </c>
      <c r="D598" s="3">
        <f>C598-B598</f>
        <v>0</v>
      </c>
    </row>
    <row r="599" spans="1:4">
      <c r="A599" s="12">
        <v>44061</v>
      </c>
      <c r="B599" s="3">
        <v>96</v>
      </c>
      <c r="C599" s="3">
        <v>96</v>
      </c>
      <c r="D599" s="3">
        <f>C599-B599</f>
        <v>0</v>
      </c>
    </row>
    <row r="600" spans="1:4">
      <c r="A600" s="12">
        <v>44062</v>
      </c>
      <c r="B600" s="3">
        <v>96</v>
      </c>
      <c r="C600" s="3">
        <v>96</v>
      </c>
      <c r="D600" s="3">
        <f>C600-B600</f>
        <v>0</v>
      </c>
    </row>
    <row r="601" spans="1:4">
      <c r="A601" s="12">
        <v>44063</v>
      </c>
      <c r="B601" s="3">
        <v>96</v>
      </c>
      <c r="C601" s="3">
        <v>96</v>
      </c>
      <c r="D601" s="3">
        <f>C601-B601</f>
        <v>0</v>
      </c>
    </row>
    <row r="602" spans="1:4">
      <c r="A602" s="12">
        <v>44064</v>
      </c>
      <c r="B602" s="3">
        <v>96</v>
      </c>
      <c r="C602" s="3">
        <v>96</v>
      </c>
      <c r="D602" s="3">
        <f>C602-B602</f>
        <v>0</v>
      </c>
    </row>
    <row r="603" spans="1:4">
      <c r="A603" s="12">
        <v>44065</v>
      </c>
      <c r="B603" s="3">
        <v>96</v>
      </c>
      <c r="C603" s="3">
        <v>96</v>
      </c>
      <c r="D603" s="3">
        <f>C603-B603</f>
        <v>0</v>
      </c>
    </row>
    <row r="604" spans="1:4">
      <c r="A604" s="12">
        <v>44066</v>
      </c>
      <c r="B604" s="3">
        <v>96</v>
      </c>
      <c r="C604" s="3">
        <v>96</v>
      </c>
      <c r="D604" s="3">
        <f>C604-B604</f>
        <v>0</v>
      </c>
    </row>
    <row r="605" spans="1:4">
      <c r="A605" s="12">
        <v>44067</v>
      </c>
      <c r="B605" s="3">
        <v>96</v>
      </c>
      <c r="C605" s="3">
        <v>96</v>
      </c>
      <c r="D605" s="3">
        <f>C605-B605</f>
        <v>0</v>
      </c>
    </row>
    <row r="606" spans="1:4">
      <c r="A606" s="12">
        <v>44068</v>
      </c>
      <c r="B606" s="3">
        <v>96</v>
      </c>
      <c r="C606" s="3">
        <v>96</v>
      </c>
      <c r="D606" s="3">
        <f>C606-B606</f>
        <v>0</v>
      </c>
    </row>
    <row r="607" spans="1:4">
      <c r="A607" s="12">
        <v>44069</v>
      </c>
      <c r="B607" s="3">
        <v>96</v>
      </c>
      <c r="C607" s="3">
        <v>96</v>
      </c>
      <c r="D607" s="3">
        <f>C607-B607</f>
        <v>0</v>
      </c>
    </row>
    <row r="608" spans="1:4">
      <c r="A608" s="12">
        <v>44070</v>
      </c>
      <c r="B608" s="3">
        <v>96</v>
      </c>
      <c r="C608" s="3">
        <v>96</v>
      </c>
      <c r="D608" s="3">
        <f>C608-B608</f>
        <v>0</v>
      </c>
    </row>
    <row r="609" spans="1:4">
      <c r="A609" s="12">
        <v>44071</v>
      </c>
      <c r="B609" s="3">
        <v>96</v>
      </c>
      <c r="C609" s="3">
        <v>96</v>
      </c>
      <c r="D609" s="3">
        <f>C609-B609</f>
        <v>0</v>
      </c>
    </row>
    <row r="610" spans="1:4">
      <c r="A610" s="12">
        <v>44072</v>
      </c>
      <c r="B610" s="3">
        <v>96</v>
      </c>
      <c r="C610" s="3">
        <v>96</v>
      </c>
      <c r="D610" s="3">
        <f>C610-B610</f>
        <v>0</v>
      </c>
    </row>
    <row r="611" spans="1:4">
      <c r="A611" s="12">
        <v>44073</v>
      </c>
      <c r="B611" s="3">
        <v>96</v>
      </c>
      <c r="C611" s="3">
        <v>96</v>
      </c>
      <c r="D611" s="3">
        <f>C611-B611</f>
        <v>0</v>
      </c>
    </row>
    <row r="612" spans="1:4">
      <c r="A612" s="12">
        <v>44074</v>
      </c>
      <c r="B612" s="3">
        <v>96</v>
      </c>
      <c r="C612" s="3">
        <v>96</v>
      </c>
      <c r="D612" s="3">
        <f>C612-B612</f>
        <v>0</v>
      </c>
    </row>
    <row r="613" spans="1:4">
      <c r="A613" s="12">
        <v>44075</v>
      </c>
      <c r="B613" s="3">
        <v>96</v>
      </c>
      <c r="C613" s="3">
        <v>96</v>
      </c>
      <c r="D613" s="3">
        <f>C613-B613</f>
        <v>0</v>
      </c>
    </row>
    <row r="614" spans="1:4">
      <c r="A614" s="12">
        <v>44076</v>
      </c>
      <c r="B614" s="3">
        <v>96</v>
      </c>
      <c r="C614" s="3">
        <v>96</v>
      </c>
      <c r="D614" s="3">
        <f>C614-B614</f>
        <v>0</v>
      </c>
    </row>
    <row r="615" spans="1:4">
      <c r="A615" s="12">
        <v>44077</v>
      </c>
      <c r="B615" s="3">
        <v>96</v>
      </c>
      <c r="C615" s="3">
        <v>96</v>
      </c>
      <c r="D615" s="3">
        <f>C615-B615</f>
        <v>0</v>
      </c>
    </row>
    <row r="616" spans="1:4">
      <c r="A616" s="12">
        <v>44078</v>
      </c>
      <c r="B616" s="3">
        <v>96</v>
      </c>
      <c r="C616" s="3">
        <v>96</v>
      </c>
      <c r="D616" s="3">
        <f>C616-B616</f>
        <v>0</v>
      </c>
    </row>
    <row r="617" spans="1:4">
      <c r="A617" s="12">
        <v>44079</v>
      </c>
      <c r="B617" s="3">
        <v>96</v>
      </c>
      <c r="C617" s="3">
        <v>96</v>
      </c>
      <c r="D617" s="3">
        <f>C617-B617</f>
        <v>0</v>
      </c>
    </row>
    <row r="618" spans="1:4">
      <c r="A618" s="12">
        <v>44080</v>
      </c>
      <c r="B618" s="3">
        <v>96</v>
      </c>
      <c r="C618" s="3">
        <v>96</v>
      </c>
      <c r="D618" s="3">
        <f>C618-B618</f>
        <v>0</v>
      </c>
    </row>
    <row r="619" spans="1:4">
      <c r="A619" s="12">
        <v>44081</v>
      </c>
      <c r="B619" s="3">
        <v>96</v>
      </c>
      <c r="C619" s="3">
        <v>96</v>
      </c>
      <c r="D619" s="3">
        <f>C619-B619</f>
        <v>0</v>
      </c>
    </row>
    <row r="620" spans="1:4">
      <c r="A620" s="12">
        <v>44082</v>
      </c>
      <c r="B620" s="3">
        <v>96</v>
      </c>
      <c r="C620" s="3">
        <v>96</v>
      </c>
      <c r="D620" s="3">
        <f>C620-B620</f>
        <v>0</v>
      </c>
    </row>
    <row r="621" spans="1:4">
      <c r="A621" s="12">
        <v>44083</v>
      </c>
      <c r="B621" s="3">
        <v>96</v>
      </c>
      <c r="C621" s="3">
        <v>96</v>
      </c>
      <c r="D621" s="3">
        <f>C621-B621</f>
        <v>0</v>
      </c>
    </row>
    <row r="622" spans="1:4">
      <c r="A622" s="12">
        <v>44084</v>
      </c>
      <c r="B622" s="3">
        <v>96</v>
      </c>
      <c r="C622" s="3">
        <v>96</v>
      </c>
      <c r="D622" s="3">
        <f>C622-B622</f>
        <v>0</v>
      </c>
    </row>
    <row r="623" spans="1:4">
      <c r="A623" s="12">
        <v>44085</v>
      </c>
      <c r="B623" s="3">
        <v>96</v>
      </c>
      <c r="C623" s="3">
        <v>96</v>
      </c>
      <c r="D623" s="3">
        <f>C623-B623</f>
        <v>0</v>
      </c>
    </row>
    <row r="624" spans="1:4">
      <c r="A624" s="12">
        <v>44086</v>
      </c>
      <c r="B624" s="3">
        <v>96</v>
      </c>
      <c r="C624" s="3">
        <v>96</v>
      </c>
      <c r="D624" s="3">
        <f>C624-B624</f>
        <v>0</v>
      </c>
    </row>
    <row r="625" spans="1:4">
      <c r="A625" s="12">
        <v>44087</v>
      </c>
      <c r="B625" s="3">
        <v>96</v>
      </c>
      <c r="C625" s="3">
        <v>96</v>
      </c>
      <c r="D625" s="3">
        <f>C625-B625</f>
        <v>0</v>
      </c>
    </row>
    <row r="626" spans="1:4">
      <c r="A626" s="12">
        <v>44088</v>
      </c>
      <c r="B626" s="3">
        <v>96</v>
      </c>
      <c r="C626" s="3">
        <v>96</v>
      </c>
      <c r="D626" s="3">
        <f>C626-B626</f>
        <v>0</v>
      </c>
    </row>
    <row r="627" spans="1:4">
      <c r="A627" s="12">
        <v>44089</v>
      </c>
      <c r="B627" s="3">
        <v>96</v>
      </c>
      <c r="C627" s="3">
        <v>96</v>
      </c>
      <c r="D627" s="3">
        <f>C627-B627</f>
        <v>0</v>
      </c>
    </row>
    <row r="628" spans="1:4">
      <c r="A628" s="12">
        <v>44090</v>
      </c>
      <c r="B628" s="3">
        <v>96</v>
      </c>
      <c r="C628" s="3">
        <v>96</v>
      </c>
      <c r="D628" s="3">
        <f>C628-B628</f>
        <v>0</v>
      </c>
    </row>
    <row r="629" spans="1:4">
      <c r="A629" s="12">
        <v>44091</v>
      </c>
      <c r="B629" s="3">
        <v>96</v>
      </c>
      <c r="C629" s="3">
        <v>96</v>
      </c>
      <c r="D629" s="3">
        <f>C629-B629</f>
        <v>0</v>
      </c>
    </row>
    <row r="630" spans="1:4">
      <c r="A630" s="12">
        <v>44092</v>
      </c>
      <c r="B630" s="3">
        <v>96</v>
      </c>
      <c r="C630" s="3">
        <v>96</v>
      </c>
      <c r="D630" s="3">
        <f>C630-B630</f>
        <v>0</v>
      </c>
    </row>
    <row r="631" spans="1:4">
      <c r="A631" s="12">
        <v>44093</v>
      </c>
      <c r="B631" s="3">
        <v>96</v>
      </c>
      <c r="C631" s="3">
        <v>96</v>
      </c>
      <c r="D631" s="3">
        <f>C631-B631</f>
        <v>0</v>
      </c>
    </row>
    <row r="632" spans="1:4">
      <c r="A632" s="12">
        <v>44094</v>
      </c>
      <c r="B632" s="3">
        <v>96</v>
      </c>
      <c r="C632" s="3">
        <v>96</v>
      </c>
      <c r="D632" s="3">
        <f>C632-B632</f>
        <v>0</v>
      </c>
    </row>
    <row r="633" spans="1:4">
      <c r="A633" s="12">
        <v>44095</v>
      </c>
      <c r="B633" s="3">
        <v>96</v>
      </c>
      <c r="C633" s="3">
        <v>96</v>
      </c>
      <c r="D633" s="3">
        <f>C633-B633</f>
        <v>0</v>
      </c>
    </row>
    <row r="634" spans="1:4">
      <c r="A634" s="12">
        <v>44096</v>
      </c>
      <c r="B634" s="3">
        <v>96</v>
      </c>
      <c r="C634" s="3">
        <v>96</v>
      </c>
      <c r="D634" s="3">
        <f>C634-B634</f>
        <v>0</v>
      </c>
    </row>
    <row r="635" spans="1:4">
      <c r="A635" s="12">
        <v>44097</v>
      </c>
      <c r="B635" s="3">
        <v>96</v>
      </c>
      <c r="C635" s="3">
        <v>96</v>
      </c>
      <c r="D635" s="3">
        <f>C635-B635</f>
        <v>0</v>
      </c>
    </row>
    <row r="636" spans="1:4">
      <c r="A636" s="12">
        <v>44098</v>
      </c>
      <c r="B636" s="3">
        <v>96</v>
      </c>
      <c r="C636" s="3">
        <v>96</v>
      </c>
      <c r="D636" s="3">
        <f>C636-B636</f>
        <v>0</v>
      </c>
    </row>
    <row r="637" spans="1:4">
      <c r="A637" s="12">
        <v>44099</v>
      </c>
      <c r="B637" s="3">
        <v>96</v>
      </c>
      <c r="C637" s="3">
        <v>96</v>
      </c>
      <c r="D637" s="3">
        <f>C637-B637</f>
        <v>0</v>
      </c>
    </row>
    <row r="638" spans="1:4">
      <c r="A638" s="12">
        <v>44100</v>
      </c>
      <c r="B638" s="3">
        <v>96</v>
      </c>
      <c r="C638" s="3">
        <v>96</v>
      </c>
      <c r="D638" s="3">
        <f>C638-B638</f>
        <v>0</v>
      </c>
    </row>
    <row r="639" spans="1:4">
      <c r="A639" s="12">
        <v>44101</v>
      </c>
      <c r="B639" s="3">
        <v>96</v>
      </c>
      <c r="C639" s="3">
        <v>96</v>
      </c>
      <c r="D639" s="3">
        <f>C639-B639</f>
        <v>0</v>
      </c>
    </row>
    <row r="640" spans="1:4">
      <c r="A640" s="12">
        <v>44102</v>
      </c>
      <c r="B640" s="3">
        <v>96</v>
      </c>
      <c r="C640" s="3">
        <v>96</v>
      </c>
      <c r="D640" s="3">
        <f>C640-B640</f>
        <v>0</v>
      </c>
    </row>
    <row r="641" spans="1:4">
      <c r="A641" s="12">
        <v>44103</v>
      </c>
      <c r="B641" s="3">
        <v>96</v>
      </c>
      <c r="C641" s="3">
        <v>96</v>
      </c>
      <c r="D641" s="3">
        <f>C641-B641</f>
        <v>0</v>
      </c>
    </row>
    <row r="642" spans="1:4">
      <c r="A642" s="12">
        <v>44104</v>
      </c>
      <c r="B642" s="3">
        <v>96</v>
      </c>
      <c r="C642" s="3">
        <v>96</v>
      </c>
      <c r="D642" s="3">
        <f>C642-B642</f>
        <v>0</v>
      </c>
    </row>
    <row r="643" spans="1:4">
      <c r="A643" s="12">
        <v>44105</v>
      </c>
      <c r="B643" s="3">
        <v>96</v>
      </c>
      <c r="C643" s="3">
        <v>96</v>
      </c>
      <c r="D643" s="3">
        <f>C643-B643</f>
        <v>0</v>
      </c>
    </row>
    <row r="644" spans="1:4">
      <c r="A644" s="12">
        <v>44106</v>
      </c>
      <c r="B644" s="3">
        <v>96</v>
      </c>
      <c r="C644" s="3">
        <v>96</v>
      </c>
      <c r="D644" s="3">
        <f>C644-B644</f>
        <v>0</v>
      </c>
    </row>
    <row r="645" spans="1:4">
      <c r="A645" s="12">
        <v>44107</v>
      </c>
      <c r="B645" s="3">
        <v>96</v>
      </c>
      <c r="C645" s="3">
        <v>96</v>
      </c>
      <c r="D645" s="3">
        <f>C645-B645</f>
        <v>0</v>
      </c>
    </row>
    <row r="646" spans="1:4">
      <c r="A646" s="12">
        <v>44108</v>
      </c>
      <c r="B646" s="3">
        <v>96</v>
      </c>
      <c r="C646" s="3">
        <v>96</v>
      </c>
      <c r="D646" s="3">
        <f>C646-B646</f>
        <v>0</v>
      </c>
    </row>
    <row r="647" spans="1:4">
      <c r="A647" s="12">
        <v>44109</v>
      </c>
      <c r="B647" s="3">
        <v>96</v>
      </c>
      <c r="C647" s="3">
        <v>96</v>
      </c>
      <c r="D647" s="3">
        <f>C647-B647</f>
        <v>0</v>
      </c>
    </row>
    <row r="648" spans="1:4">
      <c r="A648" s="12">
        <v>44110</v>
      </c>
      <c r="B648" s="3">
        <v>96</v>
      </c>
      <c r="C648" s="3">
        <v>96</v>
      </c>
      <c r="D648" s="3">
        <f>C648-B648</f>
        <v>0</v>
      </c>
    </row>
    <row r="649" spans="1:4">
      <c r="A649" s="12">
        <v>44111</v>
      </c>
      <c r="B649" s="3">
        <v>96</v>
      </c>
      <c r="C649" s="3">
        <v>96</v>
      </c>
      <c r="D649" s="3">
        <f>C649-B649</f>
        <v>0</v>
      </c>
    </row>
    <row r="650" spans="1:4">
      <c r="A650" s="12">
        <v>44112</v>
      </c>
      <c r="B650" s="3">
        <v>96</v>
      </c>
      <c r="C650" s="3">
        <v>96</v>
      </c>
      <c r="D650" s="3">
        <f>C650-B650</f>
        <v>0</v>
      </c>
    </row>
    <row r="651" spans="1:4">
      <c r="A651" s="12">
        <v>44113</v>
      </c>
      <c r="B651" s="3">
        <v>96</v>
      </c>
      <c r="C651" s="3">
        <v>96</v>
      </c>
      <c r="D651" s="3">
        <f>C651-B651</f>
        <v>0</v>
      </c>
    </row>
    <row r="652" spans="1:4">
      <c r="A652" s="12">
        <v>44114</v>
      </c>
      <c r="B652" s="3">
        <v>96</v>
      </c>
      <c r="C652" s="3">
        <v>96</v>
      </c>
      <c r="D652" s="3">
        <f>C652-B652</f>
        <v>0</v>
      </c>
    </row>
    <row r="653" spans="1:4">
      <c r="A653" s="12">
        <v>44115</v>
      </c>
      <c r="B653" s="3">
        <v>96</v>
      </c>
      <c r="C653" s="3">
        <v>96</v>
      </c>
      <c r="D653" s="3">
        <f>C653-B653</f>
        <v>0</v>
      </c>
    </row>
    <row r="654" spans="1:4">
      <c r="A654" s="12">
        <v>44116</v>
      </c>
      <c r="B654" s="3">
        <v>96</v>
      </c>
      <c r="C654" s="3">
        <v>96</v>
      </c>
      <c r="D654" s="3">
        <f>C654-B654</f>
        <v>0</v>
      </c>
    </row>
    <row r="655" spans="1:4">
      <c r="A655" s="12">
        <v>44117</v>
      </c>
      <c r="B655" s="3">
        <v>96</v>
      </c>
      <c r="C655" s="3">
        <v>96</v>
      </c>
      <c r="D655" s="3">
        <f>C655-B655</f>
        <v>0</v>
      </c>
    </row>
    <row r="656" spans="1:4">
      <c r="A656" s="12">
        <v>44118</v>
      </c>
      <c r="B656" s="3">
        <v>96</v>
      </c>
      <c r="C656" s="3">
        <v>96</v>
      </c>
      <c r="D656" s="3">
        <f>C656-B656</f>
        <v>0</v>
      </c>
    </row>
    <row r="657" spans="1:4">
      <c r="A657" s="12">
        <v>44119</v>
      </c>
      <c r="B657" s="3">
        <v>96</v>
      </c>
      <c r="C657" s="3">
        <v>96</v>
      </c>
      <c r="D657" s="3">
        <f>C657-B657</f>
        <v>0</v>
      </c>
    </row>
    <row r="658" spans="1:4">
      <c r="A658" s="12">
        <v>44120</v>
      </c>
      <c r="B658" s="3">
        <v>96</v>
      </c>
      <c r="C658" s="3">
        <v>96</v>
      </c>
      <c r="D658" s="3">
        <f>C658-B658</f>
        <v>0</v>
      </c>
    </row>
    <row r="659" spans="1:4">
      <c r="A659" s="12">
        <v>44121</v>
      </c>
      <c r="B659" s="3">
        <v>96</v>
      </c>
      <c r="C659" s="3">
        <v>96</v>
      </c>
      <c r="D659" s="3">
        <f>C659-B659</f>
        <v>0</v>
      </c>
    </row>
    <row r="660" spans="1:4">
      <c r="A660" s="12">
        <v>44122</v>
      </c>
      <c r="B660" s="3">
        <v>96</v>
      </c>
      <c r="C660" s="3">
        <v>96</v>
      </c>
      <c r="D660" s="3">
        <f>C660-B660</f>
        <v>0</v>
      </c>
    </row>
    <row r="661" spans="1:4">
      <c r="A661" s="12">
        <v>44123</v>
      </c>
      <c r="B661" s="3">
        <v>96</v>
      </c>
      <c r="C661" s="3">
        <v>96</v>
      </c>
      <c r="D661" s="3">
        <f>C661-B661</f>
        <v>0</v>
      </c>
    </row>
    <row r="662" spans="1:4">
      <c r="A662" s="12">
        <v>44124</v>
      </c>
      <c r="B662" s="3">
        <v>96</v>
      </c>
      <c r="C662" s="3">
        <v>96</v>
      </c>
      <c r="D662" s="3">
        <f>C662-B662</f>
        <v>0</v>
      </c>
    </row>
    <row r="663" spans="1:4">
      <c r="A663" s="12">
        <v>44125</v>
      </c>
      <c r="B663" s="3">
        <v>96</v>
      </c>
      <c r="C663" s="3">
        <v>96</v>
      </c>
      <c r="D663" s="3">
        <f>C663-B663</f>
        <v>0</v>
      </c>
    </row>
    <row r="664" spans="1:4">
      <c r="A664" s="12">
        <v>44126</v>
      </c>
      <c r="B664" s="3">
        <v>96</v>
      </c>
      <c r="C664" s="3">
        <v>96</v>
      </c>
      <c r="D664" s="3">
        <f>C664-B664</f>
        <v>0</v>
      </c>
    </row>
    <row r="665" spans="1:4">
      <c r="A665" s="12">
        <v>44127</v>
      </c>
      <c r="B665" s="3">
        <v>96</v>
      </c>
      <c r="C665" s="3">
        <v>96</v>
      </c>
      <c r="D665" s="3">
        <f>C665-B665</f>
        <v>0</v>
      </c>
    </row>
    <row r="666" spans="1:4">
      <c r="A666" s="12">
        <v>44128</v>
      </c>
      <c r="B666" s="3">
        <v>96</v>
      </c>
      <c r="C666" s="3">
        <v>96</v>
      </c>
      <c r="D666" s="3">
        <f>C666-B666</f>
        <v>0</v>
      </c>
    </row>
    <row r="667" spans="1:4">
      <c r="A667" s="12">
        <v>44129</v>
      </c>
      <c r="B667" s="3">
        <v>100</v>
      </c>
      <c r="C667" s="3">
        <v>100</v>
      </c>
      <c r="D667" s="3">
        <f>C667-B667</f>
        <v>0</v>
      </c>
    </row>
    <row r="668" spans="1:4">
      <c r="A668" s="12">
        <v>44130</v>
      </c>
      <c r="B668" s="3">
        <v>96</v>
      </c>
      <c r="C668" s="3">
        <v>96</v>
      </c>
      <c r="D668" s="3">
        <f>C668-B668</f>
        <v>0</v>
      </c>
    </row>
    <row r="669" spans="1:4">
      <c r="A669" s="12">
        <v>44131</v>
      </c>
      <c r="B669" s="3">
        <v>96</v>
      </c>
      <c r="C669" s="3">
        <v>96</v>
      </c>
      <c r="D669" s="3">
        <f>C669-B669</f>
        <v>0</v>
      </c>
    </row>
    <row r="670" spans="1:4">
      <c r="A670" s="12">
        <v>44132</v>
      </c>
      <c r="B670" s="3">
        <v>96</v>
      </c>
      <c r="C670" s="3">
        <v>96</v>
      </c>
      <c r="D670" s="3">
        <f>C670-B670</f>
        <v>0</v>
      </c>
    </row>
    <row r="671" spans="1:4">
      <c r="A671" s="12">
        <v>44133</v>
      </c>
      <c r="B671" s="3">
        <v>96</v>
      </c>
      <c r="C671" s="3">
        <v>96</v>
      </c>
      <c r="D671" s="3">
        <f>C671-B671</f>
        <v>0</v>
      </c>
    </row>
    <row r="672" spans="1:4">
      <c r="A672" s="12">
        <v>44134</v>
      </c>
      <c r="B672" s="3">
        <v>96</v>
      </c>
      <c r="C672" s="3">
        <v>96</v>
      </c>
      <c r="D672" s="3">
        <f>C672-B672</f>
        <v>0</v>
      </c>
    </row>
    <row r="673" spans="1:4">
      <c r="A673" s="12">
        <v>44135</v>
      </c>
      <c r="B673" s="3">
        <v>96</v>
      </c>
      <c r="C673" s="3">
        <v>96</v>
      </c>
      <c r="D673" s="3">
        <f>C673-B673</f>
        <v>0</v>
      </c>
    </row>
    <row r="674" spans="1:4">
      <c r="A674" s="12">
        <v>44136</v>
      </c>
      <c r="B674" s="3">
        <v>96</v>
      </c>
      <c r="C674" s="3">
        <v>96</v>
      </c>
      <c r="D674" s="3">
        <f>C674-B674</f>
        <v>0</v>
      </c>
    </row>
    <row r="675" spans="1:4">
      <c r="A675" s="12">
        <v>44137</v>
      </c>
      <c r="B675" s="3">
        <v>96</v>
      </c>
      <c r="C675" s="3">
        <v>96</v>
      </c>
      <c r="D675" s="3">
        <f>C675-B675</f>
        <v>0</v>
      </c>
    </row>
    <row r="676" spans="1:4">
      <c r="A676" s="12">
        <v>44138</v>
      </c>
      <c r="B676" s="3">
        <v>96</v>
      </c>
      <c r="C676" s="3">
        <v>96</v>
      </c>
      <c r="D676" s="3">
        <f>C676-B676</f>
        <v>0</v>
      </c>
    </row>
    <row r="677" spans="1:4">
      <c r="A677" s="12">
        <v>44139</v>
      </c>
      <c r="B677" s="3">
        <v>96</v>
      </c>
      <c r="C677" s="3">
        <v>96</v>
      </c>
      <c r="D677" s="3">
        <f>C677-B677</f>
        <v>0</v>
      </c>
    </row>
    <row r="678" spans="1:4">
      <c r="A678" s="12">
        <v>44140</v>
      </c>
      <c r="B678" s="3">
        <v>96</v>
      </c>
      <c r="C678" s="3">
        <v>96</v>
      </c>
      <c r="D678" s="3">
        <f>C678-B678</f>
        <v>0</v>
      </c>
    </row>
    <row r="679" spans="1:4">
      <c r="A679" s="12">
        <v>44141</v>
      </c>
      <c r="B679" s="3">
        <v>96</v>
      </c>
      <c r="C679" s="3">
        <v>96</v>
      </c>
      <c r="D679" s="3">
        <f>C679-B679</f>
        <v>0</v>
      </c>
    </row>
    <row r="680" spans="1:4">
      <c r="A680" s="12">
        <v>44142</v>
      </c>
      <c r="B680" s="3">
        <v>96</v>
      </c>
      <c r="C680" s="3">
        <v>96</v>
      </c>
      <c r="D680" s="3">
        <f>C680-B680</f>
        <v>0</v>
      </c>
    </row>
    <row r="681" spans="1:4">
      <c r="A681" s="12">
        <v>44143</v>
      </c>
      <c r="B681" s="3">
        <v>96</v>
      </c>
      <c r="C681" s="3">
        <v>96</v>
      </c>
      <c r="D681" s="3">
        <f>C681-B681</f>
        <v>0</v>
      </c>
    </row>
    <row r="682" spans="1:4">
      <c r="A682" s="12">
        <v>44144</v>
      </c>
      <c r="B682" s="3">
        <v>96</v>
      </c>
      <c r="C682" s="3">
        <v>96</v>
      </c>
      <c r="D682" s="3">
        <f>C682-B682</f>
        <v>0</v>
      </c>
    </row>
    <row r="683" spans="1:4">
      <c r="A683" s="12">
        <v>44145</v>
      </c>
      <c r="B683" s="3">
        <v>96</v>
      </c>
      <c r="C683" s="3">
        <v>96</v>
      </c>
      <c r="D683" s="3">
        <f>C683-B683</f>
        <v>0</v>
      </c>
    </row>
    <row r="684" spans="1:4">
      <c r="A684" s="12">
        <v>44146</v>
      </c>
      <c r="B684" s="3">
        <v>96</v>
      </c>
      <c r="C684" s="3">
        <v>96</v>
      </c>
      <c r="D684" s="3">
        <f>C684-B684</f>
        <v>0</v>
      </c>
    </row>
    <row r="685" spans="1:4">
      <c r="A685" s="12">
        <v>44147</v>
      </c>
      <c r="B685" s="3">
        <v>96</v>
      </c>
      <c r="C685" s="3">
        <v>96</v>
      </c>
      <c r="D685" s="3">
        <f>C685-B685</f>
        <v>0</v>
      </c>
    </row>
    <row r="686" spans="1:4">
      <c r="A686" s="12">
        <v>44148</v>
      </c>
      <c r="B686" s="3">
        <v>96</v>
      </c>
      <c r="C686" s="3">
        <v>96</v>
      </c>
      <c r="D686" s="3">
        <f>C686-B686</f>
        <v>0</v>
      </c>
    </row>
    <row r="687" spans="1:4">
      <c r="A687" s="12">
        <v>44149</v>
      </c>
      <c r="B687" s="3">
        <v>96</v>
      </c>
      <c r="C687" s="3">
        <v>96</v>
      </c>
      <c r="D687" s="3">
        <f>C687-B687</f>
        <v>0</v>
      </c>
    </row>
    <row r="688" spans="1:4">
      <c r="A688" s="12">
        <v>44150</v>
      </c>
      <c r="B688" s="3">
        <v>96</v>
      </c>
      <c r="C688" s="3">
        <v>96</v>
      </c>
      <c r="D688" s="3">
        <f>C688-B688</f>
        <v>0</v>
      </c>
    </row>
    <row r="689" spans="1:4">
      <c r="A689" s="12">
        <v>44151</v>
      </c>
      <c r="B689" s="3">
        <v>96</v>
      </c>
      <c r="C689" s="3">
        <v>96</v>
      </c>
      <c r="D689" s="3">
        <f>C689-B689</f>
        <v>0</v>
      </c>
    </row>
    <row r="690" spans="1:4">
      <c r="A690" s="12">
        <v>44152</v>
      </c>
      <c r="B690" s="3">
        <v>96</v>
      </c>
      <c r="C690" s="3">
        <v>96</v>
      </c>
      <c r="D690" s="3">
        <f>C690-B690</f>
        <v>0</v>
      </c>
    </row>
    <row r="691" spans="1:4">
      <c r="A691" s="12">
        <v>44153</v>
      </c>
      <c r="B691" s="3">
        <v>96</v>
      </c>
      <c r="C691" s="3">
        <v>96</v>
      </c>
      <c r="D691" s="3">
        <f>C691-B691</f>
        <v>0</v>
      </c>
    </row>
    <row r="692" spans="1:4">
      <c r="A692" s="12">
        <v>44154</v>
      </c>
      <c r="B692" s="3">
        <v>96</v>
      </c>
      <c r="C692" s="3">
        <v>96</v>
      </c>
      <c r="D692" s="3">
        <f>C692-B692</f>
        <v>0</v>
      </c>
    </row>
    <row r="693" spans="1:4">
      <c r="A693" s="12">
        <v>44155</v>
      </c>
      <c r="B693" s="3">
        <v>96</v>
      </c>
      <c r="C693" s="3">
        <v>96</v>
      </c>
      <c r="D693" s="3">
        <f>C693-B693</f>
        <v>0</v>
      </c>
    </row>
    <row r="694" spans="1:4">
      <c r="A694" s="12">
        <v>44156</v>
      </c>
      <c r="B694" s="3">
        <v>96</v>
      </c>
      <c r="C694" s="3">
        <v>96</v>
      </c>
      <c r="D694" s="3">
        <f>C694-B694</f>
        <v>0</v>
      </c>
    </row>
    <row r="695" spans="1:4">
      <c r="A695" s="12">
        <v>44157</v>
      </c>
      <c r="B695" s="3">
        <v>96</v>
      </c>
      <c r="C695" s="3">
        <v>96</v>
      </c>
      <c r="D695" s="3">
        <f>C695-B695</f>
        <v>0</v>
      </c>
    </row>
    <row r="696" spans="1:4">
      <c r="A696" s="12">
        <v>44158</v>
      </c>
      <c r="B696" s="3">
        <v>96</v>
      </c>
      <c r="C696" s="3">
        <v>96</v>
      </c>
      <c r="D696" s="3">
        <f>C696-B696</f>
        <v>0</v>
      </c>
    </row>
    <row r="697" spans="1:4">
      <c r="A697" s="12">
        <v>44159</v>
      </c>
      <c r="B697" s="3">
        <v>96</v>
      </c>
      <c r="C697" s="3">
        <v>96</v>
      </c>
      <c r="D697" s="3">
        <f>C697-B697</f>
        <v>0</v>
      </c>
    </row>
    <row r="698" spans="1:4">
      <c r="A698" s="12">
        <v>44160</v>
      </c>
      <c r="B698" s="3">
        <v>96</v>
      </c>
      <c r="C698" s="3">
        <v>96</v>
      </c>
      <c r="D698" s="3">
        <f>C698-B698</f>
        <v>0</v>
      </c>
    </row>
    <row r="699" spans="1:4">
      <c r="A699" s="12">
        <v>44161</v>
      </c>
      <c r="B699" s="3">
        <v>96</v>
      </c>
      <c r="C699" s="3">
        <v>96</v>
      </c>
      <c r="D699" s="3">
        <f>C699-B699</f>
        <v>0</v>
      </c>
    </row>
    <row r="700" spans="1:4">
      <c r="A700" s="12">
        <v>44162</v>
      </c>
      <c r="B700" s="3">
        <v>96</v>
      </c>
      <c r="C700" s="3">
        <v>96</v>
      </c>
      <c r="D700" s="3">
        <f>C700-B700</f>
        <v>0</v>
      </c>
    </row>
    <row r="701" spans="1:4">
      <c r="A701" s="12">
        <v>44163</v>
      </c>
      <c r="B701" s="3">
        <v>96</v>
      </c>
      <c r="C701" s="3">
        <v>96</v>
      </c>
      <c r="D701" s="3">
        <f>C701-B701</f>
        <v>0</v>
      </c>
    </row>
    <row r="702" spans="1:4">
      <c r="A702" s="12">
        <v>44164</v>
      </c>
      <c r="B702" s="3">
        <v>96</v>
      </c>
      <c r="C702" s="3">
        <v>96</v>
      </c>
      <c r="D702" s="3">
        <f>C702-B702</f>
        <v>0</v>
      </c>
    </row>
    <row r="703" spans="1:4">
      <c r="A703" s="12">
        <v>44165</v>
      </c>
      <c r="B703" s="3">
        <v>96</v>
      </c>
      <c r="C703" s="3">
        <v>96</v>
      </c>
      <c r="D703" s="3">
        <f>C703-B703</f>
        <v>0</v>
      </c>
    </row>
    <row r="704" spans="1:4">
      <c r="A704" s="12">
        <v>44166</v>
      </c>
      <c r="B704" s="3">
        <v>96</v>
      </c>
      <c r="C704" s="3">
        <v>96</v>
      </c>
      <c r="D704" s="3">
        <f>C704-B704</f>
        <v>0</v>
      </c>
    </row>
    <row r="705" spans="1:4">
      <c r="A705" s="12">
        <v>44167</v>
      </c>
      <c r="B705" s="3">
        <v>96</v>
      </c>
      <c r="C705" s="3">
        <v>96</v>
      </c>
      <c r="D705" s="3">
        <f>C705-B705</f>
        <v>0</v>
      </c>
    </row>
    <row r="706" spans="1:4">
      <c r="A706" s="12">
        <v>44168</v>
      </c>
      <c r="B706" s="3">
        <v>96</v>
      </c>
      <c r="C706" s="3">
        <v>96</v>
      </c>
      <c r="D706" s="3">
        <f>C706-B706</f>
        <v>0</v>
      </c>
    </row>
    <row r="707" spans="1:4">
      <c r="A707" s="12">
        <v>44169</v>
      </c>
      <c r="B707" s="3">
        <v>96</v>
      </c>
      <c r="C707" s="3">
        <v>96</v>
      </c>
      <c r="D707" s="3">
        <f>C707-B707</f>
        <v>0</v>
      </c>
    </row>
    <row r="708" spans="1:4">
      <c r="A708" s="12">
        <v>44170</v>
      </c>
      <c r="B708" s="3">
        <v>96</v>
      </c>
      <c r="C708" s="3">
        <v>96</v>
      </c>
      <c r="D708" s="3">
        <f>C708-B708</f>
        <v>0</v>
      </c>
    </row>
    <row r="709" spans="1:4">
      <c r="A709" s="12">
        <v>44171</v>
      </c>
      <c r="B709" s="3">
        <v>96</v>
      </c>
      <c r="C709" s="3">
        <v>96</v>
      </c>
      <c r="D709" s="3">
        <f>C709-B709</f>
        <v>0</v>
      </c>
    </row>
    <row r="710" spans="1:4">
      <c r="A710" s="12">
        <v>44172</v>
      </c>
      <c r="B710" s="3">
        <v>96</v>
      </c>
      <c r="C710" s="3">
        <v>96</v>
      </c>
      <c r="D710" s="3">
        <f>C710-B710</f>
        <v>0</v>
      </c>
    </row>
    <row r="711" spans="1:4">
      <c r="A711" s="12">
        <v>44173</v>
      </c>
      <c r="B711" s="3">
        <v>96</v>
      </c>
      <c r="C711" s="3">
        <v>96</v>
      </c>
      <c r="D711" s="3">
        <f>C711-B711</f>
        <v>0</v>
      </c>
    </row>
    <row r="712" spans="1:4">
      <c r="A712" s="12">
        <v>44174</v>
      </c>
      <c r="B712" s="3">
        <v>96</v>
      </c>
      <c r="C712" s="3">
        <v>96</v>
      </c>
      <c r="D712" s="3">
        <f>C712-B712</f>
        <v>0</v>
      </c>
    </row>
    <row r="713" spans="1:4">
      <c r="A713" s="12">
        <v>44175</v>
      </c>
      <c r="B713" s="3">
        <v>96</v>
      </c>
      <c r="C713" s="3">
        <v>96</v>
      </c>
      <c r="D713" s="3">
        <f>C713-B713</f>
        <v>0</v>
      </c>
    </row>
    <row r="714" spans="1:4">
      <c r="A714" s="12">
        <v>44176</v>
      </c>
      <c r="B714" s="3">
        <v>96</v>
      </c>
      <c r="C714" s="3">
        <v>96</v>
      </c>
      <c r="D714" s="3">
        <f>C714-B714</f>
        <v>0</v>
      </c>
    </row>
    <row r="715" spans="1:4">
      <c r="A715" s="12">
        <v>44177</v>
      </c>
      <c r="B715" s="3">
        <v>96</v>
      </c>
      <c r="C715" s="3">
        <v>96</v>
      </c>
      <c r="D715" s="3">
        <f>C715-B715</f>
        <v>0</v>
      </c>
    </row>
    <row r="716" spans="1:4">
      <c r="A716" s="12">
        <v>44178</v>
      </c>
      <c r="B716" s="3">
        <v>96</v>
      </c>
      <c r="C716" s="3">
        <v>96</v>
      </c>
      <c r="D716" s="3">
        <f>C716-B716</f>
        <v>0</v>
      </c>
    </row>
    <row r="717" spans="1:4">
      <c r="A717" s="12">
        <v>44179</v>
      </c>
      <c r="B717" s="3">
        <v>96</v>
      </c>
      <c r="C717" s="3">
        <v>96</v>
      </c>
      <c r="D717" s="3">
        <f>C717-B717</f>
        <v>0</v>
      </c>
    </row>
    <row r="718" spans="1:4">
      <c r="A718" s="12">
        <v>44180</v>
      </c>
      <c r="B718" s="3">
        <v>96</v>
      </c>
      <c r="C718" s="3">
        <v>96</v>
      </c>
      <c r="D718" s="3">
        <f>C718-B718</f>
        <v>0</v>
      </c>
    </row>
    <row r="719" spans="1:4">
      <c r="A719" s="12">
        <v>44181</v>
      </c>
      <c r="B719" s="3">
        <v>96</v>
      </c>
      <c r="C719" s="3">
        <v>96</v>
      </c>
      <c r="D719" s="3">
        <f>C719-B719</f>
        <v>0</v>
      </c>
    </row>
    <row r="720" spans="1:4">
      <c r="A720" s="12">
        <v>44182</v>
      </c>
      <c r="B720" s="3">
        <v>96</v>
      </c>
      <c r="C720" s="3">
        <v>96</v>
      </c>
      <c r="D720" s="3">
        <f>C720-B720</f>
        <v>0</v>
      </c>
    </row>
    <row r="721" spans="1:4">
      <c r="A721" s="12">
        <v>44183</v>
      </c>
      <c r="B721" s="3">
        <v>96</v>
      </c>
      <c r="C721" s="3">
        <v>96</v>
      </c>
      <c r="D721" s="3">
        <f>C721-B721</f>
        <v>0</v>
      </c>
    </row>
    <row r="722" spans="1:4">
      <c r="A722" s="12">
        <v>44184</v>
      </c>
      <c r="B722" s="3">
        <v>96</v>
      </c>
      <c r="C722" s="3">
        <v>96</v>
      </c>
      <c r="D722" s="3">
        <f>C722-B722</f>
        <v>0</v>
      </c>
    </row>
    <row r="723" spans="1:4">
      <c r="A723" s="12">
        <v>44185</v>
      </c>
      <c r="B723" s="3">
        <v>96</v>
      </c>
      <c r="C723" s="3">
        <v>96</v>
      </c>
      <c r="D723" s="3">
        <f>C723-B723</f>
        <v>0</v>
      </c>
    </row>
    <row r="724" spans="1:4">
      <c r="A724" s="12">
        <v>44186</v>
      </c>
      <c r="B724" s="3">
        <v>96</v>
      </c>
      <c r="C724" s="3">
        <v>96</v>
      </c>
      <c r="D724" s="3">
        <f>C724-B724</f>
        <v>0</v>
      </c>
    </row>
    <row r="725" spans="1:4">
      <c r="A725" s="12">
        <v>44187</v>
      </c>
      <c r="B725" s="3">
        <v>96</v>
      </c>
      <c r="C725" s="3">
        <v>96</v>
      </c>
      <c r="D725" s="3">
        <f>C725-B725</f>
        <v>0</v>
      </c>
    </row>
    <row r="726" spans="1:4">
      <c r="A726" s="12">
        <v>44188</v>
      </c>
      <c r="B726" s="3">
        <v>96</v>
      </c>
      <c r="C726" s="3">
        <v>96</v>
      </c>
      <c r="D726" s="3">
        <f>C726-B726</f>
        <v>0</v>
      </c>
    </row>
    <row r="727" spans="1:4">
      <c r="A727" s="12">
        <v>44189</v>
      </c>
      <c r="B727" s="3">
        <v>96</v>
      </c>
      <c r="C727" s="3">
        <v>96</v>
      </c>
      <c r="D727" s="3">
        <f>C727-B727</f>
        <v>0</v>
      </c>
    </row>
    <row r="728" spans="1:4">
      <c r="A728" s="12">
        <v>44190</v>
      </c>
      <c r="B728" s="3">
        <v>96</v>
      </c>
      <c r="C728" s="3">
        <v>96</v>
      </c>
      <c r="D728" s="3">
        <f>C728-B728</f>
        <v>0</v>
      </c>
    </row>
    <row r="729" spans="1:4">
      <c r="A729" s="12">
        <v>44191</v>
      </c>
      <c r="B729" s="3">
        <v>96</v>
      </c>
      <c r="C729" s="3">
        <v>96</v>
      </c>
      <c r="D729" s="3">
        <f>C729-B729</f>
        <v>0</v>
      </c>
    </row>
    <row r="730" spans="1:4">
      <c r="A730" s="12">
        <v>44192</v>
      </c>
      <c r="B730" s="3">
        <v>96</v>
      </c>
      <c r="C730" s="3">
        <v>96</v>
      </c>
      <c r="D730" s="3">
        <f>C730-B730</f>
        <v>0</v>
      </c>
    </row>
    <row r="731" spans="1:4">
      <c r="A731" s="12">
        <v>44193</v>
      </c>
      <c r="B731" s="3">
        <v>96</v>
      </c>
      <c r="C731" s="3">
        <v>96</v>
      </c>
      <c r="D731" s="3">
        <f>C731-B731</f>
        <v>0</v>
      </c>
    </row>
    <row r="732" spans="1:4">
      <c r="A732" s="12">
        <v>44194</v>
      </c>
      <c r="B732" s="3">
        <v>96</v>
      </c>
      <c r="C732" s="3">
        <v>96</v>
      </c>
      <c r="D732" s="3">
        <f>C732-B732</f>
        <v>0</v>
      </c>
    </row>
    <row r="733" spans="1:4">
      <c r="A733" s="12">
        <v>44195</v>
      </c>
      <c r="B733" s="3">
        <v>96</v>
      </c>
      <c r="C733" s="3">
        <v>96</v>
      </c>
      <c r="D733" s="3">
        <f>C733-B733</f>
        <v>0</v>
      </c>
    </row>
    <row r="734" spans="1:4">
      <c r="A734" s="12">
        <v>44196</v>
      </c>
      <c r="B734" s="3">
        <v>96</v>
      </c>
      <c r="C734" s="3">
        <v>96</v>
      </c>
      <c r="D734" s="3">
        <f>C734-B734</f>
        <v>0</v>
      </c>
    </row>
    <row r="735" spans="1:4">
      <c r="A735" s="12">
        <v>44197</v>
      </c>
      <c r="B735" s="3">
        <v>96</v>
      </c>
      <c r="C735" s="3">
        <v>96</v>
      </c>
      <c r="D735" s="3">
        <f>C735-B735</f>
        <v>0</v>
      </c>
    </row>
    <row r="736" spans="1:4">
      <c r="A736" s="12">
        <v>44198</v>
      </c>
      <c r="B736" s="3">
        <v>96</v>
      </c>
      <c r="C736" s="3">
        <v>96</v>
      </c>
      <c r="D736" s="3">
        <f>C736-B736</f>
        <v>0</v>
      </c>
    </row>
    <row r="737" spans="1:4">
      <c r="A737" s="12">
        <v>44199</v>
      </c>
      <c r="B737" s="3">
        <v>96</v>
      </c>
      <c r="C737" s="3">
        <v>96</v>
      </c>
      <c r="D737" s="3">
        <f>C737-B737</f>
        <v>0</v>
      </c>
    </row>
    <row r="738" spans="1:4">
      <c r="A738" s="12">
        <v>44200</v>
      </c>
      <c r="B738" s="3">
        <v>96</v>
      </c>
      <c r="C738" s="3">
        <v>96</v>
      </c>
      <c r="D738" s="3">
        <f>C738-B738</f>
        <v>0</v>
      </c>
    </row>
    <row r="739" spans="1:4">
      <c r="A739" s="12">
        <v>44201</v>
      </c>
      <c r="B739" s="3">
        <v>96</v>
      </c>
      <c r="C739" s="3">
        <v>96</v>
      </c>
      <c r="D739" s="3">
        <f>C739-B739</f>
        <v>0</v>
      </c>
    </row>
    <row r="740" spans="1:4">
      <c r="A740" s="12">
        <v>44202</v>
      </c>
      <c r="B740" s="3">
        <v>96</v>
      </c>
      <c r="C740" s="3">
        <v>96</v>
      </c>
      <c r="D740" s="3">
        <f>C740-B740</f>
        <v>0</v>
      </c>
    </row>
    <row r="741" spans="1:4">
      <c r="A741" s="12">
        <v>44203</v>
      </c>
      <c r="B741" s="3">
        <v>96</v>
      </c>
      <c r="C741" s="3">
        <v>96</v>
      </c>
      <c r="D741" s="3">
        <f>C741-B741</f>
        <v>0</v>
      </c>
    </row>
    <row r="742" spans="1:4">
      <c r="A742" s="12">
        <v>44204</v>
      </c>
      <c r="B742" s="3">
        <v>96</v>
      </c>
      <c r="C742" s="3">
        <v>96</v>
      </c>
      <c r="D742" s="3">
        <f>C742-B742</f>
        <v>0</v>
      </c>
    </row>
    <row r="743" spans="1:4">
      <c r="A743" s="12">
        <v>44205</v>
      </c>
      <c r="B743" s="3">
        <v>96</v>
      </c>
      <c r="C743" s="3">
        <v>96</v>
      </c>
      <c r="D743" s="3">
        <f>C743-B743</f>
        <v>0</v>
      </c>
    </row>
    <row r="744" spans="1:4">
      <c r="A744" s="12">
        <v>44206</v>
      </c>
      <c r="B744" s="3">
        <v>96</v>
      </c>
      <c r="C744" s="3">
        <v>96</v>
      </c>
      <c r="D744" s="3">
        <f>C744-B744</f>
        <v>0</v>
      </c>
    </row>
    <row r="745" spans="1:4">
      <c r="A745" s="12">
        <v>44207</v>
      </c>
      <c r="B745" s="3">
        <v>96</v>
      </c>
      <c r="C745" s="3">
        <v>96</v>
      </c>
      <c r="D745" s="3">
        <f>C745-B745</f>
        <v>0</v>
      </c>
    </row>
    <row r="746" spans="1:4">
      <c r="A746" s="12">
        <v>44208</v>
      </c>
      <c r="B746" s="3">
        <v>96</v>
      </c>
      <c r="C746" s="3">
        <v>96</v>
      </c>
      <c r="D746" s="3">
        <f>C746-B746</f>
        <v>0</v>
      </c>
    </row>
    <row r="747" spans="1:4">
      <c r="A747" s="12">
        <v>44209</v>
      </c>
      <c r="B747" s="3">
        <v>96</v>
      </c>
      <c r="C747" s="3">
        <v>96</v>
      </c>
      <c r="D747" s="3">
        <f>C747-B747</f>
        <v>0</v>
      </c>
    </row>
    <row r="748" spans="1:4">
      <c r="A748" s="12">
        <v>44210</v>
      </c>
      <c r="B748" s="3">
        <v>96</v>
      </c>
      <c r="C748" s="3">
        <v>96</v>
      </c>
      <c r="D748" s="3">
        <f>C748-B748</f>
        <v>0</v>
      </c>
    </row>
    <row r="749" spans="1:4">
      <c r="A749" s="12">
        <v>44211</v>
      </c>
      <c r="B749" s="3">
        <v>96</v>
      </c>
      <c r="C749" s="3">
        <v>96</v>
      </c>
      <c r="D749" s="3">
        <f>C749-B749</f>
        <v>0</v>
      </c>
    </row>
    <row r="750" spans="1:4">
      <c r="A750" s="12">
        <v>44212</v>
      </c>
      <c r="B750" s="3">
        <v>96</v>
      </c>
      <c r="C750" s="3">
        <v>96</v>
      </c>
      <c r="D750" s="3">
        <f>C750-B750</f>
        <v>0</v>
      </c>
    </row>
    <row r="751" spans="1:4">
      <c r="A751" s="12">
        <v>44213</v>
      </c>
      <c r="B751" s="3">
        <v>96</v>
      </c>
      <c r="C751" s="3">
        <v>96</v>
      </c>
      <c r="D751" s="3">
        <f>C751-B751</f>
        <v>0</v>
      </c>
    </row>
    <row r="752" spans="1:4">
      <c r="A752" s="12">
        <v>44214</v>
      </c>
      <c r="B752" s="3">
        <v>96</v>
      </c>
      <c r="C752" s="3">
        <v>96</v>
      </c>
      <c r="D752" s="3">
        <f>C752-B752</f>
        <v>0</v>
      </c>
    </row>
    <row r="753" spans="1:4">
      <c r="A753" s="12">
        <v>44215</v>
      </c>
      <c r="B753" s="3">
        <v>96</v>
      </c>
      <c r="C753" s="3">
        <v>96</v>
      </c>
      <c r="D753" s="3">
        <f>C753-B753</f>
        <v>0</v>
      </c>
    </row>
    <row r="754" spans="1:4">
      <c r="A754" s="12">
        <v>44216</v>
      </c>
      <c r="B754" s="3">
        <v>96</v>
      </c>
      <c r="C754" s="3">
        <v>96</v>
      </c>
      <c r="D754" s="3">
        <f>C754-B754</f>
        <v>0</v>
      </c>
    </row>
    <row r="755" spans="1:4">
      <c r="A755" s="12">
        <v>44217</v>
      </c>
      <c r="B755" s="3">
        <v>96</v>
      </c>
      <c r="C755" s="3">
        <v>96</v>
      </c>
      <c r="D755" s="3">
        <f>C755-B755</f>
        <v>0</v>
      </c>
    </row>
    <row r="756" spans="1:4">
      <c r="A756" s="12">
        <v>44218</v>
      </c>
      <c r="B756" s="3">
        <v>96</v>
      </c>
      <c r="C756" s="3">
        <v>96</v>
      </c>
      <c r="D756" s="3">
        <f>C756-B756</f>
        <v>0</v>
      </c>
    </row>
    <row r="757" spans="1:4">
      <c r="A757" s="12">
        <v>44219</v>
      </c>
      <c r="B757" s="3">
        <v>96</v>
      </c>
      <c r="C757" s="3">
        <v>96</v>
      </c>
      <c r="D757" s="3">
        <f>C757-B757</f>
        <v>0</v>
      </c>
    </row>
    <row r="758" spans="1:4">
      <c r="A758" s="12">
        <v>44220</v>
      </c>
      <c r="B758" s="3">
        <v>96</v>
      </c>
      <c r="C758" s="3">
        <v>96</v>
      </c>
      <c r="D758" s="3">
        <f>C758-B758</f>
        <v>0</v>
      </c>
    </row>
    <row r="759" spans="1:4">
      <c r="A759" s="12">
        <v>44221</v>
      </c>
      <c r="B759" s="3">
        <v>96</v>
      </c>
      <c r="C759" s="3">
        <v>96</v>
      </c>
      <c r="D759" s="3">
        <f>C759-B759</f>
        <v>0</v>
      </c>
    </row>
    <row r="760" spans="1:4">
      <c r="A760" s="12">
        <v>44222</v>
      </c>
      <c r="B760" s="3">
        <v>96</v>
      </c>
      <c r="C760" s="3">
        <v>96</v>
      </c>
      <c r="D760" s="3">
        <f>C760-B760</f>
        <v>0</v>
      </c>
    </row>
    <row r="761" spans="1:4">
      <c r="A761" s="12">
        <v>44223</v>
      </c>
      <c r="B761" s="3">
        <v>96</v>
      </c>
      <c r="C761" s="3">
        <v>96</v>
      </c>
      <c r="D761" s="3">
        <f>C761-B761</f>
        <v>0</v>
      </c>
    </row>
    <row r="762" spans="1:4">
      <c r="A762" s="12">
        <v>44224</v>
      </c>
      <c r="B762" s="3">
        <v>96</v>
      </c>
      <c r="C762" s="3">
        <v>96</v>
      </c>
      <c r="D762" s="3">
        <f>C762-B762</f>
        <v>0</v>
      </c>
    </row>
    <row r="763" spans="1:4">
      <c r="A763" s="12">
        <v>44225</v>
      </c>
      <c r="B763" s="3">
        <v>96</v>
      </c>
      <c r="C763" s="3">
        <v>96</v>
      </c>
      <c r="D763" s="3">
        <f>C763-B763</f>
        <v>0</v>
      </c>
    </row>
    <row r="764" spans="1:4">
      <c r="A764" s="12">
        <v>44226</v>
      </c>
      <c r="B764" s="3">
        <v>96</v>
      </c>
      <c r="C764" s="3">
        <v>96</v>
      </c>
      <c r="D764" s="3">
        <f>C764-B764</f>
        <v>0</v>
      </c>
    </row>
    <row r="765" spans="1:4">
      <c r="A765" s="12">
        <v>44227</v>
      </c>
      <c r="B765" s="3">
        <v>96</v>
      </c>
      <c r="C765" s="3">
        <v>96</v>
      </c>
      <c r="D765" s="3">
        <f>C765-B765</f>
        <v>0</v>
      </c>
    </row>
    <row r="766" spans="1:4">
      <c r="A766" s="12">
        <v>44228</v>
      </c>
      <c r="B766" s="3">
        <v>96</v>
      </c>
      <c r="C766" s="3">
        <v>96</v>
      </c>
      <c r="D766" s="3">
        <f>C766-B766</f>
        <v>0</v>
      </c>
    </row>
    <row r="767" spans="1:4">
      <c r="A767" s="12">
        <v>44229</v>
      </c>
      <c r="B767" s="3">
        <v>96</v>
      </c>
      <c r="C767" s="3">
        <v>96</v>
      </c>
      <c r="D767" s="3">
        <f>C767-B767</f>
        <v>0</v>
      </c>
    </row>
    <row r="768" spans="1:4">
      <c r="A768" s="12">
        <v>44230</v>
      </c>
      <c r="B768" s="3">
        <v>96</v>
      </c>
      <c r="C768" s="3">
        <v>96</v>
      </c>
      <c r="D768" s="3">
        <f>C768-B768</f>
        <v>0</v>
      </c>
    </row>
    <row r="769" spans="1:4">
      <c r="A769" s="12">
        <v>44231</v>
      </c>
      <c r="B769" s="3">
        <v>96</v>
      </c>
      <c r="C769" s="3">
        <v>96</v>
      </c>
      <c r="D769" s="3">
        <f>C769-B769</f>
        <v>0</v>
      </c>
    </row>
    <row r="770" spans="1:4">
      <c r="A770" s="12">
        <v>44232</v>
      </c>
      <c r="B770" s="3">
        <v>96</v>
      </c>
      <c r="C770" s="3">
        <v>96</v>
      </c>
      <c r="D770" s="3">
        <f>C770-B770</f>
        <v>0</v>
      </c>
    </row>
    <row r="771" spans="1:4">
      <c r="A771" s="12">
        <v>44233</v>
      </c>
      <c r="B771" s="3">
        <v>96</v>
      </c>
      <c r="C771" s="3">
        <v>96</v>
      </c>
      <c r="D771" s="3">
        <f>C771-B771</f>
        <v>0</v>
      </c>
    </row>
    <row r="772" spans="1:4">
      <c r="A772" s="12">
        <v>44234</v>
      </c>
      <c r="B772" s="3">
        <v>96</v>
      </c>
      <c r="C772" s="3">
        <v>96</v>
      </c>
      <c r="D772" s="3">
        <f>C772-B772</f>
        <v>0</v>
      </c>
    </row>
    <row r="773" spans="1:4">
      <c r="A773" s="12">
        <v>44235</v>
      </c>
      <c r="B773" s="3">
        <v>96</v>
      </c>
      <c r="C773" s="3">
        <v>96</v>
      </c>
      <c r="D773" s="3">
        <f>C773-B773</f>
        <v>0</v>
      </c>
    </row>
    <row r="774" spans="1:4">
      <c r="A774" s="12">
        <v>44236</v>
      </c>
      <c r="B774" s="3">
        <v>96</v>
      </c>
      <c r="C774" s="3">
        <v>96</v>
      </c>
      <c r="D774" s="3">
        <f>C774-B774</f>
        <v>0</v>
      </c>
    </row>
    <row r="775" spans="1:4">
      <c r="A775" s="12">
        <v>44237</v>
      </c>
      <c r="B775" s="3">
        <v>96</v>
      </c>
      <c r="C775" s="3">
        <v>96</v>
      </c>
      <c r="D775" s="3">
        <f>C775-B775</f>
        <v>0</v>
      </c>
    </row>
    <row r="776" spans="1:4">
      <c r="A776" s="12">
        <v>44238</v>
      </c>
      <c r="B776" s="3">
        <v>96</v>
      </c>
      <c r="C776" s="3">
        <v>96</v>
      </c>
      <c r="D776" s="3">
        <f>C776-B776</f>
        <v>0</v>
      </c>
    </row>
    <row r="777" spans="1:4">
      <c r="A777" s="12">
        <v>44239</v>
      </c>
      <c r="B777" s="3">
        <v>96</v>
      </c>
      <c r="C777" s="3">
        <v>96</v>
      </c>
      <c r="D777" s="3">
        <f>C777-B777</f>
        <v>0</v>
      </c>
    </row>
    <row r="778" spans="1:4">
      <c r="A778" s="12">
        <v>44240</v>
      </c>
      <c r="B778" s="3">
        <v>96</v>
      </c>
      <c r="C778" s="3">
        <v>96</v>
      </c>
      <c r="D778" s="3">
        <f>C778-B778</f>
        <v>0</v>
      </c>
    </row>
    <row r="779" spans="1:4">
      <c r="A779" s="12">
        <v>44241</v>
      </c>
      <c r="B779" s="3">
        <v>96</v>
      </c>
      <c r="C779" s="3">
        <v>96</v>
      </c>
      <c r="D779" s="3">
        <f>C779-B779</f>
        <v>0</v>
      </c>
    </row>
    <row r="780" spans="1:4">
      <c r="A780" s="12">
        <v>44242</v>
      </c>
      <c r="B780" s="3">
        <v>96</v>
      </c>
      <c r="C780" s="3">
        <v>96</v>
      </c>
      <c r="D780" s="3">
        <f>C780-B780</f>
        <v>0</v>
      </c>
    </row>
    <row r="781" spans="1:4">
      <c r="A781" s="12">
        <v>44243</v>
      </c>
      <c r="B781" s="3">
        <v>96</v>
      </c>
      <c r="C781" s="3">
        <v>96</v>
      </c>
      <c r="D781" s="3">
        <f>C781-B781</f>
        <v>0</v>
      </c>
    </row>
    <row r="782" spans="1:4">
      <c r="A782" s="12">
        <v>44244</v>
      </c>
      <c r="B782" s="3">
        <v>96</v>
      </c>
      <c r="C782" s="3">
        <v>96</v>
      </c>
      <c r="D782" s="3">
        <f>C782-B782</f>
        <v>0</v>
      </c>
    </row>
    <row r="783" spans="1:4">
      <c r="A783" s="12">
        <v>44245</v>
      </c>
      <c r="B783" s="3">
        <v>96</v>
      </c>
      <c r="C783" s="3">
        <v>96</v>
      </c>
      <c r="D783" s="3">
        <f>C783-B783</f>
        <v>0</v>
      </c>
    </row>
    <row r="784" spans="1:4">
      <c r="A784" s="12">
        <v>44246</v>
      </c>
      <c r="B784" s="3">
        <v>96</v>
      </c>
      <c r="C784" s="3">
        <v>96</v>
      </c>
      <c r="D784" s="3">
        <f>C784-B784</f>
        <v>0</v>
      </c>
    </row>
    <row r="785" spans="1:4">
      <c r="A785" s="12">
        <v>44247</v>
      </c>
      <c r="B785" s="3">
        <v>96</v>
      </c>
      <c r="C785" s="3">
        <v>96</v>
      </c>
      <c r="D785" s="3">
        <f>C785-B785</f>
        <v>0</v>
      </c>
    </row>
    <row r="786" spans="1:4">
      <c r="A786" s="12">
        <v>44248</v>
      </c>
      <c r="B786" s="3">
        <v>96</v>
      </c>
      <c r="C786" s="3">
        <v>96</v>
      </c>
      <c r="D786" s="3">
        <f>C786-B786</f>
        <v>0</v>
      </c>
    </row>
    <row r="787" spans="1:4">
      <c r="A787" s="12">
        <v>44249</v>
      </c>
      <c r="B787" s="3">
        <v>96</v>
      </c>
      <c r="C787" s="3">
        <v>96</v>
      </c>
      <c r="D787" s="3">
        <f>C787-B787</f>
        <v>0</v>
      </c>
    </row>
    <row r="788" spans="1:4">
      <c r="A788" s="12">
        <v>44250</v>
      </c>
      <c r="B788" s="3">
        <v>96</v>
      </c>
      <c r="C788" s="3">
        <v>96</v>
      </c>
      <c r="D788" s="3">
        <f>C788-B788</f>
        <v>0</v>
      </c>
    </row>
    <row r="789" spans="1:4">
      <c r="A789" s="12">
        <v>44251</v>
      </c>
      <c r="B789" s="3">
        <v>96</v>
      </c>
      <c r="C789" s="3">
        <v>96</v>
      </c>
      <c r="D789" s="3">
        <f>C789-B789</f>
        <v>0</v>
      </c>
    </row>
    <row r="790" spans="1:4">
      <c r="A790" s="12">
        <v>44252</v>
      </c>
      <c r="B790" s="3">
        <v>96</v>
      </c>
      <c r="C790" s="3">
        <v>96</v>
      </c>
      <c r="D790" s="3">
        <f>C790-B790</f>
        <v>0</v>
      </c>
    </row>
    <row r="791" spans="1:4">
      <c r="A791" s="12">
        <v>44253</v>
      </c>
      <c r="B791" s="3">
        <v>96</v>
      </c>
      <c r="C791" s="3">
        <v>96</v>
      </c>
      <c r="D791" s="3">
        <f>C791-B791</f>
        <v>0</v>
      </c>
    </row>
    <row r="792" spans="1:4">
      <c r="A792" s="12">
        <v>44254</v>
      </c>
      <c r="B792" s="3">
        <v>96</v>
      </c>
      <c r="C792" s="3">
        <v>96</v>
      </c>
      <c r="D792" s="3">
        <f>C792-B792</f>
        <v>0</v>
      </c>
    </row>
    <row r="793" spans="1:4">
      <c r="A793" s="12">
        <v>44255</v>
      </c>
      <c r="B793" s="3">
        <v>96</v>
      </c>
      <c r="C793" s="3">
        <v>96</v>
      </c>
      <c r="D793" s="3">
        <f>C793-B793</f>
        <v>0</v>
      </c>
    </row>
    <row r="794" spans="1:4">
      <c r="A794" s="12">
        <v>44256</v>
      </c>
      <c r="B794" s="3">
        <v>96</v>
      </c>
      <c r="C794" s="3">
        <v>96</v>
      </c>
      <c r="D794" s="3">
        <f>C794-B794</f>
        <v>0</v>
      </c>
    </row>
    <row r="795" spans="1:4">
      <c r="A795" s="12">
        <v>44257</v>
      </c>
      <c r="B795" s="3">
        <v>96</v>
      </c>
      <c r="C795" s="3">
        <v>96</v>
      </c>
      <c r="D795" s="3">
        <f>C795-B795</f>
        <v>0</v>
      </c>
    </row>
    <row r="796" spans="1:4">
      <c r="A796" s="12">
        <v>44258</v>
      </c>
      <c r="B796" s="3">
        <v>96</v>
      </c>
      <c r="C796" s="3">
        <v>96</v>
      </c>
      <c r="D796" s="3">
        <f>C796-B796</f>
        <v>0</v>
      </c>
    </row>
    <row r="797" spans="1:4">
      <c r="A797" s="12">
        <v>44259</v>
      </c>
      <c r="B797" s="3">
        <v>96</v>
      </c>
      <c r="C797" s="3">
        <v>96</v>
      </c>
      <c r="D797" s="3">
        <f>C797-B797</f>
        <v>0</v>
      </c>
    </row>
    <row r="798" spans="1:4">
      <c r="A798" s="12">
        <v>44260</v>
      </c>
      <c r="B798" s="3">
        <v>96</v>
      </c>
      <c r="C798" s="3">
        <v>96</v>
      </c>
      <c r="D798" s="3">
        <f>C798-B798</f>
        <v>0</v>
      </c>
    </row>
    <row r="799" spans="1:4">
      <c r="A799" s="12">
        <v>44261</v>
      </c>
      <c r="B799" s="3">
        <v>96</v>
      </c>
      <c r="C799" s="3">
        <v>96</v>
      </c>
      <c r="D799" s="3">
        <f>C799-B799</f>
        <v>0</v>
      </c>
    </row>
    <row r="800" spans="1:4">
      <c r="A800" s="12">
        <v>44262</v>
      </c>
      <c r="B800" s="3">
        <v>96</v>
      </c>
      <c r="C800" s="3">
        <v>96</v>
      </c>
      <c r="D800" s="3">
        <f>C800-B800</f>
        <v>0</v>
      </c>
    </row>
    <row r="801" spans="1:4">
      <c r="A801" s="12">
        <v>44263</v>
      </c>
      <c r="B801" s="3">
        <v>96</v>
      </c>
      <c r="C801" s="3">
        <v>96</v>
      </c>
      <c r="D801" s="3">
        <f>C801-B801</f>
        <v>0</v>
      </c>
    </row>
    <row r="802" spans="1:4">
      <c r="A802" s="12">
        <v>44264</v>
      </c>
      <c r="B802" s="3">
        <v>96</v>
      </c>
      <c r="C802" s="3">
        <v>96</v>
      </c>
      <c r="D802" s="3">
        <f>C802-B802</f>
        <v>0</v>
      </c>
    </row>
    <row r="803" spans="1:4">
      <c r="A803" s="12">
        <v>44265</v>
      </c>
      <c r="B803" s="3">
        <v>96</v>
      </c>
      <c r="C803" s="3">
        <v>96</v>
      </c>
      <c r="D803" s="3">
        <f>C803-B803</f>
        <v>0</v>
      </c>
    </row>
    <row r="804" spans="1:4">
      <c r="A804" s="12">
        <v>44266</v>
      </c>
      <c r="B804" s="3">
        <v>96</v>
      </c>
      <c r="C804" s="3">
        <v>96</v>
      </c>
      <c r="D804" s="3">
        <f>C804-B804</f>
        <v>0</v>
      </c>
    </row>
    <row r="805" spans="1:4">
      <c r="A805" s="12">
        <v>44267</v>
      </c>
      <c r="B805" s="3">
        <v>96</v>
      </c>
      <c r="C805" s="3">
        <v>96</v>
      </c>
      <c r="D805" s="3">
        <f>C805-B805</f>
        <v>0</v>
      </c>
    </row>
    <row r="806" spans="1:4">
      <c r="A806" s="12">
        <v>44268</v>
      </c>
      <c r="B806" s="3">
        <v>96</v>
      </c>
      <c r="C806" s="3">
        <v>96</v>
      </c>
      <c r="D806" s="3">
        <f>C806-B806</f>
        <v>0</v>
      </c>
    </row>
    <row r="807" spans="1:4">
      <c r="A807" s="12">
        <v>44269</v>
      </c>
      <c r="B807" s="3">
        <v>96</v>
      </c>
      <c r="C807" s="3">
        <v>96</v>
      </c>
      <c r="D807" s="3">
        <f>C807-B807</f>
        <v>0</v>
      </c>
    </row>
    <row r="808" spans="1:4">
      <c r="A808" s="12">
        <v>44270</v>
      </c>
      <c r="B808" s="3">
        <v>96</v>
      </c>
      <c r="C808" s="3">
        <v>96</v>
      </c>
      <c r="D808" s="3">
        <f>C808-B808</f>
        <v>0</v>
      </c>
    </row>
    <row r="809" spans="1:4">
      <c r="A809" s="12">
        <v>44271</v>
      </c>
      <c r="B809" s="3">
        <v>96</v>
      </c>
      <c r="C809" s="3">
        <v>96</v>
      </c>
      <c r="D809" s="3">
        <f>C809-B809</f>
        <v>0</v>
      </c>
    </row>
    <row r="810" spans="1:4">
      <c r="A810" s="12">
        <v>44272</v>
      </c>
      <c r="B810" s="3">
        <v>96</v>
      </c>
      <c r="C810" s="3">
        <v>96</v>
      </c>
      <c r="D810" s="3">
        <f>C810-B810</f>
        <v>0</v>
      </c>
    </row>
    <row r="811" spans="1:4">
      <c r="A811" s="12">
        <v>44273</v>
      </c>
      <c r="B811" s="3">
        <v>96</v>
      </c>
      <c r="C811" s="3">
        <v>96</v>
      </c>
      <c r="D811" s="3">
        <f>C811-B811</f>
        <v>0</v>
      </c>
    </row>
    <row r="812" spans="1:4">
      <c r="A812" s="12">
        <v>44274</v>
      </c>
      <c r="B812" s="3">
        <v>96</v>
      </c>
      <c r="C812" s="3">
        <v>96</v>
      </c>
      <c r="D812" s="3">
        <f>C812-B812</f>
        <v>0</v>
      </c>
    </row>
    <row r="813" spans="1:4">
      <c r="A813" s="12">
        <v>44275</v>
      </c>
      <c r="B813" s="3">
        <v>96</v>
      </c>
      <c r="C813" s="3">
        <v>96</v>
      </c>
      <c r="D813" s="3">
        <f>C813-B813</f>
        <v>0</v>
      </c>
    </row>
    <row r="814" spans="1:4">
      <c r="A814" s="12">
        <v>44276</v>
      </c>
      <c r="B814" s="3">
        <v>96</v>
      </c>
      <c r="C814" s="3">
        <v>96</v>
      </c>
      <c r="D814" s="3">
        <f>C814-B814</f>
        <v>0</v>
      </c>
    </row>
    <row r="815" spans="1:4">
      <c r="A815" s="12">
        <v>44277</v>
      </c>
      <c r="B815" s="3">
        <v>96</v>
      </c>
      <c r="C815" s="3">
        <v>96</v>
      </c>
      <c r="D815" s="3">
        <f>C815-B815</f>
        <v>0</v>
      </c>
    </row>
    <row r="816" spans="1:4">
      <c r="A816" s="12">
        <v>44278</v>
      </c>
      <c r="B816" s="3">
        <v>96</v>
      </c>
      <c r="C816" s="3">
        <v>96</v>
      </c>
      <c r="D816" s="3">
        <f>C816-B816</f>
        <v>0</v>
      </c>
    </row>
    <row r="817" spans="1:4">
      <c r="A817" s="12">
        <v>44279</v>
      </c>
      <c r="B817" s="3">
        <v>96</v>
      </c>
      <c r="C817" s="3">
        <v>96</v>
      </c>
      <c r="D817" s="3">
        <f>C817-B817</f>
        <v>0</v>
      </c>
    </row>
    <row r="818" spans="1:4">
      <c r="A818" s="12">
        <v>44280</v>
      </c>
      <c r="B818" s="3">
        <v>96</v>
      </c>
      <c r="C818" s="3">
        <v>96</v>
      </c>
      <c r="D818" s="3">
        <f>C818-B818</f>
        <v>0</v>
      </c>
    </row>
    <row r="819" spans="1:4">
      <c r="A819" s="12">
        <v>44281</v>
      </c>
      <c r="B819" s="3">
        <v>96</v>
      </c>
      <c r="C819" s="3">
        <v>96</v>
      </c>
      <c r="D819" s="3">
        <f>C819-B819</f>
        <v>0</v>
      </c>
    </row>
    <row r="820" spans="1:4">
      <c r="A820" s="12">
        <v>44282</v>
      </c>
      <c r="B820" s="3">
        <v>96</v>
      </c>
      <c r="C820" s="3">
        <v>96</v>
      </c>
      <c r="D820" s="3">
        <f>C820-B820</f>
        <v>0</v>
      </c>
    </row>
    <row r="821" spans="1:4">
      <c r="A821" s="12">
        <v>44283</v>
      </c>
      <c r="B821" s="3">
        <v>92</v>
      </c>
      <c r="C821" s="3">
        <v>92</v>
      </c>
      <c r="D821" s="3">
        <f>C821-B821</f>
        <v>0</v>
      </c>
    </row>
    <row r="822" spans="1:4">
      <c r="A822" s="12">
        <v>44284</v>
      </c>
      <c r="B822" s="3">
        <v>96</v>
      </c>
      <c r="C822" s="3">
        <v>96</v>
      </c>
      <c r="D822" s="3">
        <f>C822-B822</f>
        <v>0</v>
      </c>
    </row>
    <row r="823" spans="1:4">
      <c r="A823" s="12">
        <v>44285</v>
      </c>
      <c r="B823" s="3">
        <v>96</v>
      </c>
      <c r="C823" s="3">
        <v>96</v>
      </c>
      <c r="D823" s="3">
        <f>C823-B823</f>
        <v>0</v>
      </c>
    </row>
    <row r="824" spans="1:4">
      <c r="A824" s="12">
        <v>44286</v>
      </c>
      <c r="B824" s="3">
        <v>96</v>
      </c>
      <c r="C824" s="3">
        <v>96</v>
      </c>
      <c r="D824" s="3">
        <f>C824-B824</f>
        <v>0</v>
      </c>
    </row>
    <row r="825" spans="1:4">
      <c r="A825" s="12">
        <v>44287</v>
      </c>
      <c r="B825" s="3">
        <v>96</v>
      </c>
      <c r="C825" s="3">
        <v>96</v>
      </c>
      <c r="D825" s="3">
        <f>C825-B825</f>
        <v>0</v>
      </c>
    </row>
    <row r="826" spans="1:4">
      <c r="A826" s="12">
        <v>44288</v>
      </c>
      <c r="B826" s="3">
        <v>96</v>
      </c>
      <c r="C826" s="3">
        <v>96</v>
      </c>
      <c r="D826" s="3">
        <f>C826-B826</f>
        <v>0</v>
      </c>
    </row>
    <row r="827" spans="1:4">
      <c r="A827" s="12">
        <v>44289</v>
      </c>
      <c r="B827" s="3">
        <v>96</v>
      </c>
      <c r="C827" s="3">
        <v>96</v>
      </c>
      <c r="D827" s="3">
        <f>C827-B827</f>
        <v>0</v>
      </c>
    </row>
    <row r="828" spans="1:4">
      <c r="A828" s="12">
        <v>44290</v>
      </c>
      <c r="B828" s="3">
        <v>96</v>
      </c>
      <c r="C828" s="3">
        <v>96</v>
      </c>
      <c r="D828" s="3">
        <f>C828-B828</f>
        <v>0</v>
      </c>
    </row>
    <row r="829" spans="1:4">
      <c r="A829" s="12">
        <v>44291</v>
      </c>
      <c r="B829" s="3">
        <v>96</v>
      </c>
      <c r="C829" s="3">
        <v>96</v>
      </c>
      <c r="D829" s="3">
        <f>C829-B829</f>
        <v>0</v>
      </c>
    </row>
    <row r="830" spans="1:4">
      <c r="A830" s="12">
        <v>44292</v>
      </c>
      <c r="B830" s="3">
        <v>96</v>
      </c>
      <c r="C830" s="3">
        <v>96</v>
      </c>
      <c r="D830" s="3">
        <f>C830-B830</f>
        <v>0</v>
      </c>
    </row>
    <row r="831" spans="1:4">
      <c r="A831" s="12">
        <v>44293</v>
      </c>
      <c r="B831" s="3">
        <v>96</v>
      </c>
      <c r="C831" s="3">
        <v>96</v>
      </c>
      <c r="D831" s="3">
        <f>C831-B831</f>
        <v>0</v>
      </c>
    </row>
    <row r="832" spans="1:4">
      <c r="A832" s="12">
        <v>44294</v>
      </c>
      <c r="B832" s="3">
        <v>96</v>
      </c>
      <c r="C832" s="3">
        <v>96</v>
      </c>
      <c r="D832" s="3">
        <f>C832-B832</f>
        <v>0</v>
      </c>
    </row>
    <row r="833" spans="1:4">
      <c r="A833" s="12">
        <v>44295</v>
      </c>
      <c r="B833" s="3">
        <v>96</v>
      </c>
      <c r="C833" s="3">
        <v>96</v>
      </c>
      <c r="D833" s="3">
        <f>C833-B833</f>
        <v>0</v>
      </c>
    </row>
    <row r="834" spans="1:4">
      <c r="A834" s="12">
        <v>44296</v>
      </c>
      <c r="B834" s="3">
        <v>96</v>
      </c>
      <c r="C834" s="3">
        <v>96</v>
      </c>
      <c r="D834" s="3">
        <f>C834-B834</f>
        <v>0</v>
      </c>
    </row>
    <row r="835" spans="1:4">
      <c r="A835" s="12">
        <v>44297</v>
      </c>
      <c r="B835" s="3">
        <v>96</v>
      </c>
      <c r="C835" s="3">
        <v>96</v>
      </c>
      <c r="D835" s="3">
        <f>C835-B835</f>
        <v>0</v>
      </c>
    </row>
    <row r="836" spans="1:4">
      <c r="A836" s="12">
        <v>44298</v>
      </c>
      <c r="B836" s="3">
        <v>96</v>
      </c>
      <c r="C836" s="3">
        <v>96</v>
      </c>
      <c r="D836" s="3">
        <f>C836-B836</f>
        <v>0</v>
      </c>
    </row>
    <row r="837" spans="1:4">
      <c r="A837" s="12">
        <v>44299</v>
      </c>
      <c r="B837" s="3">
        <v>96</v>
      </c>
      <c r="C837" s="3">
        <v>96</v>
      </c>
      <c r="D837" s="3">
        <f>C837-B837</f>
        <v>0</v>
      </c>
    </row>
    <row r="838" spans="1:4">
      <c r="A838" s="12">
        <v>44300</v>
      </c>
      <c r="B838" s="3">
        <v>96</v>
      </c>
      <c r="C838" s="3">
        <v>96</v>
      </c>
      <c r="D838" s="3">
        <f>C838-B838</f>
        <v>0</v>
      </c>
    </row>
    <row r="839" spans="1:4">
      <c r="A839" s="12">
        <v>44301</v>
      </c>
      <c r="B839" s="3">
        <v>96</v>
      </c>
      <c r="C839" s="3">
        <v>96</v>
      </c>
      <c r="D839" s="3">
        <f>C839-B839</f>
        <v>0</v>
      </c>
    </row>
    <row r="840" spans="1:4">
      <c r="A840" s="12">
        <v>44302</v>
      </c>
      <c r="B840" s="3">
        <v>96</v>
      </c>
      <c r="C840" s="3">
        <v>96</v>
      </c>
      <c r="D840" s="3">
        <f>C840-B840</f>
        <v>0</v>
      </c>
    </row>
    <row r="841" spans="1:4">
      <c r="A841" s="12">
        <v>44303</v>
      </c>
      <c r="B841" s="3">
        <v>96</v>
      </c>
      <c r="C841" s="3">
        <v>96</v>
      </c>
      <c r="D841" s="3">
        <f>C841-B841</f>
        <v>0</v>
      </c>
    </row>
    <row r="842" spans="1:4">
      <c r="A842" s="12">
        <v>44304</v>
      </c>
      <c r="B842" s="3">
        <v>96</v>
      </c>
      <c r="C842" s="3">
        <v>96</v>
      </c>
      <c r="D842" s="3">
        <f>C842-B842</f>
        <v>0</v>
      </c>
    </row>
    <row r="843" spans="1:4">
      <c r="A843" s="12">
        <v>44305</v>
      </c>
      <c r="B843" s="3">
        <v>96</v>
      </c>
      <c r="C843" s="3">
        <v>96</v>
      </c>
      <c r="D843" s="3">
        <f>C843-B843</f>
        <v>0</v>
      </c>
    </row>
    <row r="844" spans="1:4">
      <c r="A844" s="12">
        <v>44306</v>
      </c>
      <c r="B844" s="3">
        <v>96</v>
      </c>
      <c r="C844" s="3">
        <v>96</v>
      </c>
      <c r="D844" s="3">
        <f>C844-B844</f>
        <v>0</v>
      </c>
    </row>
    <row r="845" spans="1:4">
      <c r="A845" s="12">
        <v>44307</v>
      </c>
      <c r="B845" s="3">
        <v>96</v>
      </c>
      <c r="C845" s="3">
        <v>96</v>
      </c>
      <c r="D845" s="3">
        <f>C845-B845</f>
        <v>0</v>
      </c>
    </row>
    <row r="846" spans="1:4">
      <c r="A846" s="12">
        <v>44308</v>
      </c>
      <c r="B846" s="3">
        <v>96</v>
      </c>
      <c r="C846" s="3">
        <v>96</v>
      </c>
      <c r="D846" s="3">
        <f>C846-B846</f>
        <v>0</v>
      </c>
    </row>
    <row r="847" spans="1:4">
      <c r="A847" s="12">
        <v>44309</v>
      </c>
      <c r="B847" s="3">
        <v>96</v>
      </c>
      <c r="C847" s="3">
        <v>96</v>
      </c>
      <c r="D847" s="3">
        <f>C847-B847</f>
        <v>0</v>
      </c>
    </row>
    <row r="848" spans="1:4">
      <c r="A848" s="12">
        <v>44310</v>
      </c>
      <c r="B848" s="3">
        <v>96</v>
      </c>
      <c r="C848" s="3">
        <v>96</v>
      </c>
      <c r="D848" s="3">
        <f>C848-B848</f>
        <v>0</v>
      </c>
    </row>
    <row r="849" spans="1:4">
      <c r="A849" s="12">
        <v>44311</v>
      </c>
      <c r="B849" s="3">
        <v>96</v>
      </c>
      <c r="C849" s="3">
        <v>96</v>
      </c>
      <c r="D849" s="3">
        <f>C849-B849</f>
        <v>0</v>
      </c>
    </row>
    <row r="850" spans="1:4">
      <c r="A850" s="12">
        <v>44312</v>
      </c>
      <c r="B850" s="3">
        <v>96</v>
      </c>
      <c r="C850" s="3">
        <v>96</v>
      </c>
      <c r="D850" s="3">
        <f>C850-B850</f>
        <v>0</v>
      </c>
    </row>
    <row r="851" spans="1:4">
      <c r="A851" s="12">
        <v>44313</v>
      </c>
      <c r="B851" s="3">
        <v>96</v>
      </c>
      <c r="C851" s="3">
        <v>96</v>
      </c>
      <c r="D851" s="3">
        <f>C851-B851</f>
        <v>0</v>
      </c>
    </row>
    <row r="852" spans="1:4">
      <c r="A852" s="12">
        <v>44314</v>
      </c>
      <c r="B852" s="3">
        <v>96</v>
      </c>
      <c r="C852" s="3">
        <v>96</v>
      </c>
      <c r="D852" s="3">
        <f>C852-B852</f>
        <v>0</v>
      </c>
    </row>
    <row r="853" spans="1:4">
      <c r="A853" s="12">
        <v>44315</v>
      </c>
      <c r="B853" s="3">
        <v>96</v>
      </c>
      <c r="C853" s="3">
        <v>96</v>
      </c>
      <c r="D853" s="3">
        <f>C853-B853</f>
        <v>0</v>
      </c>
    </row>
    <row r="854" spans="1:4">
      <c r="A854" s="12">
        <v>44316</v>
      </c>
      <c r="B854" s="3">
        <v>96</v>
      </c>
      <c r="C854" s="3">
        <v>96</v>
      </c>
      <c r="D854" s="3">
        <f>C854-B854</f>
        <v>0</v>
      </c>
    </row>
    <row r="855" spans="1:4">
      <c r="A855" s="12">
        <v>44317</v>
      </c>
      <c r="B855" s="3">
        <v>96</v>
      </c>
      <c r="C855" s="3">
        <v>96</v>
      </c>
      <c r="D855" s="3">
        <f>C855-B855</f>
        <v>0</v>
      </c>
    </row>
    <row r="856" spans="1:4">
      <c r="A856" s="12">
        <v>44318</v>
      </c>
      <c r="B856" s="3">
        <v>96</v>
      </c>
      <c r="C856" s="3">
        <v>96</v>
      </c>
      <c r="D856" s="3">
        <f>C856-B856</f>
        <v>0</v>
      </c>
    </row>
    <row r="857" spans="1:4">
      <c r="A857" s="12">
        <v>44319</v>
      </c>
      <c r="B857" s="3">
        <v>96</v>
      </c>
      <c r="C857" s="3">
        <v>96</v>
      </c>
      <c r="D857" s="3">
        <f>C857-B857</f>
        <v>0</v>
      </c>
    </row>
    <row r="858" spans="1:4">
      <c r="A858" s="12">
        <v>44320</v>
      </c>
      <c r="B858" s="3">
        <v>96</v>
      </c>
      <c r="C858" s="3">
        <v>96</v>
      </c>
      <c r="D858" s="3">
        <f>C858-B858</f>
        <v>0</v>
      </c>
    </row>
    <row r="859" spans="1:4">
      <c r="A859" s="12">
        <v>44321</v>
      </c>
      <c r="B859" s="3">
        <v>96</v>
      </c>
      <c r="C859" s="3">
        <v>96</v>
      </c>
      <c r="D859" s="3">
        <f>C859-B859</f>
        <v>0</v>
      </c>
    </row>
    <row r="860" spans="1:4">
      <c r="A860" s="12">
        <v>44322</v>
      </c>
      <c r="B860" s="3">
        <v>96</v>
      </c>
      <c r="C860" s="3">
        <v>96</v>
      </c>
      <c r="D860" s="3">
        <f>C860-B860</f>
        <v>0</v>
      </c>
    </row>
    <row r="861" spans="1:4">
      <c r="A861" s="12">
        <v>44323</v>
      </c>
      <c r="B861" s="3">
        <v>96</v>
      </c>
      <c r="C861" s="3">
        <v>96</v>
      </c>
      <c r="D861" s="3">
        <f>C861-B861</f>
        <v>0</v>
      </c>
    </row>
    <row r="862" spans="1:4">
      <c r="A862" s="12">
        <v>44324</v>
      </c>
      <c r="B862" s="3">
        <v>96</v>
      </c>
      <c r="C862" s="3">
        <v>96</v>
      </c>
      <c r="D862" s="3">
        <f>C862-B862</f>
        <v>0</v>
      </c>
    </row>
    <row r="863" spans="1:4">
      <c r="A863" s="12">
        <v>44325</v>
      </c>
      <c r="B863" s="3">
        <v>96</v>
      </c>
      <c r="C863" s="3">
        <v>96</v>
      </c>
      <c r="D863" s="3">
        <f>C863-B863</f>
        <v>0</v>
      </c>
    </row>
    <row r="864" spans="1:4">
      <c r="A864" s="12">
        <v>44326</v>
      </c>
      <c r="B864" s="3">
        <v>96</v>
      </c>
      <c r="C864" s="3">
        <v>96</v>
      </c>
      <c r="D864" s="3">
        <f>C864-B864</f>
        <v>0</v>
      </c>
    </row>
    <row r="865" spans="1:4">
      <c r="A865" s="12">
        <v>44327</v>
      </c>
      <c r="B865" s="3">
        <v>96</v>
      </c>
      <c r="C865" s="3">
        <v>96</v>
      </c>
      <c r="D865" s="3">
        <f>C865-B865</f>
        <v>0</v>
      </c>
    </row>
    <row r="866" spans="1:4">
      <c r="A866" s="12">
        <v>44328</v>
      </c>
      <c r="B866" s="3">
        <v>96</v>
      </c>
      <c r="C866" s="3">
        <v>96</v>
      </c>
      <c r="D866" s="3">
        <f>C866-B866</f>
        <v>0</v>
      </c>
    </row>
    <row r="867" spans="1:4">
      <c r="A867" s="12">
        <v>44329</v>
      </c>
      <c r="B867" s="3">
        <v>96</v>
      </c>
      <c r="C867" s="3">
        <v>96</v>
      </c>
      <c r="D867" s="3">
        <f>C867-B867</f>
        <v>0</v>
      </c>
    </row>
    <row r="868" spans="1:4">
      <c r="A868" s="12">
        <v>44330</v>
      </c>
      <c r="B868" s="3">
        <v>96</v>
      </c>
      <c r="C868" s="3">
        <v>96</v>
      </c>
      <c r="D868" s="3">
        <f>C868-B868</f>
        <v>0</v>
      </c>
    </row>
    <row r="869" spans="1:4">
      <c r="A869" s="12">
        <v>44331</v>
      </c>
      <c r="B869" s="3">
        <v>96</v>
      </c>
      <c r="C869" s="3">
        <v>96</v>
      </c>
      <c r="D869" s="3">
        <f>C869-B869</f>
        <v>0</v>
      </c>
    </row>
    <row r="870" spans="1:4">
      <c r="A870" s="12">
        <v>44332</v>
      </c>
      <c r="B870" s="3">
        <v>96</v>
      </c>
      <c r="C870" s="3">
        <v>96</v>
      </c>
      <c r="D870" s="3">
        <f>C870-B870</f>
        <v>0</v>
      </c>
    </row>
    <row r="871" spans="1:4">
      <c r="A871" s="12">
        <v>44333</v>
      </c>
      <c r="B871" s="3">
        <v>96</v>
      </c>
      <c r="C871" s="3">
        <v>96</v>
      </c>
      <c r="D871" s="3">
        <f>C871-B871</f>
        <v>0</v>
      </c>
    </row>
    <row r="872" spans="1:4">
      <c r="A872" s="12">
        <v>44334</v>
      </c>
      <c r="B872" s="3">
        <v>96</v>
      </c>
      <c r="C872" s="3">
        <v>96</v>
      </c>
      <c r="D872" s="3">
        <f>C872-B872</f>
        <v>0</v>
      </c>
    </row>
    <row r="873" spans="1:4">
      <c r="A873" s="12">
        <v>44335</v>
      </c>
      <c r="B873" s="3">
        <v>96</v>
      </c>
      <c r="C873" s="3">
        <v>96</v>
      </c>
      <c r="D873" s="3">
        <f>C873-B873</f>
        <v>0</v>
      </c>
    </row>
    <row r="874" spans="1:4">
      <c r="A874" s="12">
        <v>44336</v>
      </c>
      <c r="B874" s="3">
        <v>96</v>
      </c>
      <c r="C874" s="3">
        <v>96</v>
      </c>
      <c r="D874" s="3">
        <f>C874-B874</f>
        <v>0</v>
      </c>
    </row>
    <row r="875" spans="1:4">
      <c r="A875" s="12">
        <v>44337</v>
      </c>
      <c r="B875" s="3">
        <v>96</v>
      </c>
      <c r="C875" s="3">
        <v>96</v>
      </c>
      <c r="D875" s="3">
        <f>C875-B875</f>
        <v>0</v>
      </c>
    </row>
    <row r="876" spans="1:4">
      <c r="A876" s="12">
        <v>44338</v>
      </c>
      <c r="B876" s="3">
        <v>96</v>
      </c>
      <c r="C876" s="3">
        <v>96</v>
      </c>
      <c r="D876" s="3">
        <f>C876-B876</f>
        <v>0</v>
      </c>
    </row>
    <row r="877" spans="1:4">
      <c r="A877" s="12">
        <v>44339</v>
      </c>
      <c r="B877" s="3">
        <v>96</v>
      </c>
      <c r="C877" s="3">
        <v>96</v>
      </c>
      <c r="D877" s="3">
        <f>C877-B877</f>
        <v>0</v>
      </c>
    </row>
    <row r="878" spans="1:4">
      <c r="A878" s="12">
        <v>44340</v>
      </c>
      <c r="B878" s="3">
        <v>96</v>
      </c>
      <c r="C878" s="3">
        <v>96</v>
      </c>
      <c r="D878" s="3">
        <f>C878-B878</f>
        <v>0</v>
      </c>
    </row>
    <row r="879" spans="1:4">
      <c r="A879" s="12">
        <v>44341</v>
      </c>
      <c r="B879" s="3">
        <v>96</v>
      </c>
      <c r="C879" s="3">
        <v>96</v>
      </c>
      <c r="D879" s="3">
        <f>C879-B879</f>
        <v>0</v>
      </c>
    </row>
    <row r="880" spans="1:4">
      <c r="A880" s="12">
        <v>44342</v>
      </c>
      <c r="B880" s="3">
        <v>96</v>
      </c>
      <c r="C880" s="3">
        <v>96</v>
      </c>
      <c r="D880" s="3">
        <f>C880-B880</f>
        <v>0</v>
      </c>
    </row>
    <row r="881" spans="1:4">
      <c r="A881" s="12">
        <v>44343</v>
      </c>
      <c r="B881" s="3">
        <v>96</v>
      </c>
      <c r="C881" s="3">
        <v>96</v>
      </c>
      <c r="D881" s="3">
        <f>C881-B881</f>
        <v>0</v>
      </c>
    </row>
    <row r="882" spans="1:4">
      <c r="A882" s="12">
        <v>44344</v>
      </c>
      <c r="B882" s="3">
        <v>96</v>
      </c>
      <c r="C882" s="3">
        <v>96</v>
      </c>
      <c r="D882" s="3">
        <f>C882-B882</f>
        <v>0</v>
      </c>
    </row>
    <row r="883" spans="1:4">
      <c r="A883" s="12">
        <v>44345</v>
      </c>
      <c r="B883" s="3">
        <v>96</v>
      </c>
      <c r="C883" s="3">
        <v>96</v>
      </c>
      <c r="D883" s="3">
        <f>C883-B883</f>
        <v>0</v>
      </c>
    </row>
    <row r="884" spans="1:4">
      <c r="A884" s="12">
        <v>44346</v>
      </c>
      <c r="B884" s="3">
        <v>96</v>
      </c>
      <c r="C884" s="3">
        <v>96</v>
      </c>
      <c r="D884" s="3">
        <f>C884-B884</f>
        <v>0</v>
      </c>
    </row>
    <row r="885" spans="1:4">
      <c r="A885" s="12">
        <v>44347</v>
      </c>
      <c r="B885" s="3">
        <v>96</v>
      </c>
      <c r="C885" s="3">
        <v>96</v>
      </c>
      <c r="D885" s="3">
        <f>C885-B885</f>
        <v>0</v>
      </c>
    </row>
    <row r="886" spans="1:4">
      <c r="A886" s="12">
        <v>44348</v>
      </c>
      <c r="B886" s="3">
        <v>96</v>
      </c>
      <c r="C886" s="3">
        <v>96</v>
      </c>
      <c r="D886" s="3">
        <f>C886-B886</f>
        <v>0</v>
      </c>
    </row>
    <row r="887" spans="1:4">
      <c r="A887" s="12">
        <v>44349</v>
      </c>
      <c r="B887" s="3">
        <v>96</v>
      </c>
      <c r="C887" s="3">
        <v>96</v>
      </c>
      <c r="D887" s="3">
        <f>C887-B887</f>
        <v>0</v>
      </c>
    </row>
    <row r="888" spans="1:4">
      <c r="A888" s="12">
        <v>44350</v>
      </c>
      <c r="B888" s="3">
        <v>96</v>
      </c>
      <c r="C888" s="3">
        <v>96</v>
      </c>
      <c r="D888" s="3">
        <f>C888-B888</f>
        <v>0</v>
      </c>
    </row>
    <row r="889" spans="1:4">
      <c r="A889" s="12">
        <v>44351</v>
      </c>
      <c r="B889" s="3">
        <v>96</v>
      </c>
      <c r="C889" s="3">
        <v>96</v>
      </c>
      <c r="D889" s="3">
        <f>C889-B889</f>
        <v>0</v>
      </c>
    </row>
    <row r="890" spans="1:4">
      <c r="A890" s="12">
        <v>44352</v>
      </c>
      <c r="B890" s="3">
        <v>96</v>
      </c>
      <c r="C890" s="3">
        <v>96</v>
      </c>
      <c r="D890" s="3">
        <f>C890-B890</f>
        <v>0</v>
      </c>
    </row>
    <row r="891" spans="1:4">
      <c r="A891" s="12">
        <v>44353</v>
      </c>
      <c r="B891" s="3">
        <v>96</v>
      </c>
      <c r="C891" s="3">
        <v>96</v>
      </c>
      <c r="D891" s="3">
        <f>C891-B891</f>
        <v>0</v>
      </c>
    </row>
    <row r="892" spans="1:4">
      <c r="A892" s="12">
        <v>44354</v>
      </c>
      <c r="B892" s="3">
        <v>96</v>
      </c>
      <c r="C892" s="3">
        <v>96</v>
      </c>
      <c r="D892" s="3">
        <f>C892-B892</f>
        <v>0</v>
      </c>
    </row>
    <row r="893" spans="1:4">
      <c r="A893" s="12">
        <v>44355</v>
      </c>
      <c r="B893" s="3">
        <v>96</v>
      </c>
      <c r="C893" s="3">
        <v>96</v>
      </c>
      <c r="D893" s="3">
        <f>C893-B893</f>
        <v>0</v>
      </c>
    </row>
    <row r="894" spans="1:4">
      <c r="A894" s="12">
        <v>44356</v>
      </c>
      <c r="B894" s="3">
        <v>96</v>
      </c>
      <c r="C894" s="3">
        <v>96</v>
      </c>
      <c r="D894" s="3">
        <f>C894-B894</f>
        <v>0</v>
      </c>
    </row>
    <row r="895" spans="1:4">
      <c r="A895" s="12">
        <v>44357</v>
      </c>
      <c r="B895" s="3">
        <v>96</v>
      </c>
      <c r="C895" s="3">
        <v>96</v>
      </c>
      <c r="D895" s="3">
        <f>C895-B895</f>
        <v>0</v>
      </c>
    </row>
    <row r="896" spans="1:4">
      <c r="A896" s="12">
        <v>44358</v>
      </c>
      <c r="B896" s="3">
        <v>96</v>
      </c>
      <c r="C896" s="3">
        <v>96</v>
      </c>
      <c r="D896" s="3">
        <f>C896-B896</f>
        <v>0</v>
      </c>
    </row>
    <row r="897" spans="1:4">
      <c r="A897" s="12">
        <v>44359</v>
      </c>
      <c r="B897" s="3">
        <v>96</v>
      </c>
      <c r="C897" s="3">
        <v>96</v>
      </c>
      <c r="D897" s="3">
        <f>C897-B897</f>
        <v>0</v>
      </c>
    </row>
    <row r="898" spans="1:4">
      <c r="A898" s="12">
        <v>44360</v>
      </c>
      <c r="B898" s="3">
        <v>96</v>
      </c>
      <c r="C898" s="3">
        <v>96</v>
      </c>
      <c r="D898" s="3">
        <f>C898-B898</f>
        <v>0</v>
      </c>
    </row>
    <row r="899" spans="1:4">
      <c r="A899" s="12">
        <v>44361</v>
      </c>
      <c r="B899" s="3">
        <v>96</v>
      </c>
      <c r="C899" s="3">
        <v>96</v>
      </c>
      <c r="D899" s="3">
        <f>C899-B899</f>
        <v>0</v>
      </c>
    </row>
    <row r="900" spans="1:4">
      <c r="A900" s="12">
        <v>44362</v>
      </c>
      <c r="B900" s="3">
        <v>96</v>
      </c>
      <c r="C900" s="3">
        <v>96</v>
      </c>
      <c r="D900" s="3">
        <f>C900-B900</f>
        <v>0</v>
      </c>
    </row>
    <row r="901" spans="1:4">
      <c r="A901" s="12">
        <v>44363</v>
      </c>
      <c r="B901" s="3">
        <v>96</v>
      </c>
      <c r="C901" s="3">
        <v>96</v>
      </c>
      <c r="D901" s="3">
        <f>C901-B901</f>
        <v>0</v>
      </c>
    </row>
    <row r="902" spans="1:4">
      <c r="A902" s="12">
        <v>44364</v>
      </c>
      <c r="B902" s="3">
        <v>96</v>
      </c>
      <c r="C902" s="3">
        <v>96</v>
      </c>
      <c r="D902" s="3">
        <f>C902-B902</f>
        <v>0</v>
      </c>
    </row>
    <row r="903" spans="1:4">
      <c r="A903" s="12">
        <v>44365</v>
      </c>
      <c r="B903" s="3">
        <v>96</v>
      </c>
      <c r="C903" s="3">
        <v>96</v>
      </c>
      <c r="D903" s="3">
        <f>C903-B903</f>
        <v>0</v>
      </c>
    </row>
    <row r="904" spans="1:4">
      <c r="A904" s="12">
        <v>44366</v>
      </c>
      <c r="B904" s="3">
        <v>96</v>
      </c>
      <c r="C904" s="3">
        <v>96</v>
      </c>
      <c r="D904" s="3">
        <f>C904-B904</f>
        <v>0</v>
      </c>
    </row>
    <row r="905" spans="1:4">
      <c r="A905" s="12">
        <v>44367</v>
      </c>
      <c r="B905" s="3">
        <v>96</v>
      </c>
      <c r="C905" s="3">
        <v>96</v>
      </c>
      <c r="D905" s="3">
        <f>C905-B905</f>
        <v>0</v>
      </c>
    </row>
    <row r="906" spans="1:4">
      <c r="A906" s="12">
        <v>44368</v>
      </c>
      <c r="B906" s="3">
        <v>96</v>
      </c>
      <c r="C906" s="3">
        <v>96</v>
      </c>
      <c r="D906" s="3">
        <f>C906-B906</f>
        <v>0</v>
      </c>
    </row>
    <row r="907" spans="1:4">
      <c r="A907" s="12">
        <v>44369</v>
      </c>
      <c r="B907" s="3">
        <v>96</v>
      </c>
      <c r="C907" s="3">
        <v>96</v>
      </c>
      <c r="D907" s="3">
        <f>C907-B907</f>
        <v>0</v>
      </c>
    </row>
    <row r="908" spans="1:4">
      <c r="A908" s="12">
        <v>44370</v>
      </c>
      <c r="B908" s="3">
        <v>96</v>
      </c>
      <c r="C908" s="3">
        <v>96</v>
      </c>
      <c r="D908" s="3">
        <f>C908-B908</f>
        <v>0</v>
      </c>
    </row>
    <row r="909" spans="1:4">
      <c r="A909" s="12">
        <v>44371</v>
      </c>
      <c r="B909" s="3">
        <v>96</v>
      </c>
      <c r="C909" s="3">
        <v>96</v>
      </c>
      <c r="D909" s="3">
        <f>C909-B909</f>
        <v>0</v>
      </c>
    </row>
    <row r="910" spans="1:4">
      <c r="A910" s="12">
        <v>44372</v>
      </c>
      <c r="B910" s="3">
        <v>96</v>
      </c>
      <c r="C910" s="3">
        <v>96</v>
      </c>
      <c r="D910" s="3">
        <f>C910-B910</f>
        <v>0</v>
      </c>
    </row>
    <row r="911" spans="1:4">
      <c r="A911" s="12">
        <v>44373</v>
      </c>
      <c r="B911" s="3">
        <v>96</v>
      </c>
      <c r="C911" s="3">
        <v>96</v>
      </c>
      <c r="D911" s="3">
        <f>C911-B911</f>
        <v>0</v>
      </c>
    </row>
    <row r="912" spans="1:4">
      <c r="A912" s="12">
        <v>44374</v>
      </c>
      <c r="B912" s="3">
        <v>96</v>
      </c>
      <c r="C912" s="3">
        <v>96</v>
      </c>
      <c r="D912" s="3">
        <f>C912-B912</f>
        <v>0</v>
      </c>
    </row>
    <row r="913" spans="1:4">
      <c r="A913" s="12">
        <v>44375</v>
      </c>
      <c r="B913" s="3">
        <v>96</v>
      </c>
      <c r="C913" s="3">
        <v>96</v>
      </c>
      <c r="D913" s="3">
        <f>C913-B913</f>
        <v>0</v>
      </c>
    </row>
    <row r="914" spans="1:4">
      <c r="A914" s="12">
        <v>44376</v>
      </c>
      <c r="B914" s="3">
        <v>96</v>
      </c>
      <c r="C914" s="3">
        <v>96</v>
      </c>
      <c r="D914" s="3">
        <f>C914-B914</f>
        <v>0</v>
      </c>
    </row>
    <row r="915" spans="1:4">
      <c r="A915" s="12">
        <v>44377</v>
      </c>
      <c r="B915" s="3">
        <v>96</v>
      </c>
      <c r="C915" s="3">
        <v>96</v>
      </c>
      <c r="D915" s="3">
        <f>C915-B915</f>
        <v>0</v>
      </c>
    </row>
    <row r="916" spans="1:4">
      <c r="A916" s="12">
        <v>44378</v>
      </c>
      <c r="B916" s="3">
        <v>96</v>
      </c>
      <c r="C916" s="3">
        <v>96</v>
      </c>
      <c r="D916" s="3">
        <f>C916-B916</f>
        <v>0</v>
      </c>
    </row>
    <row r="917" spans="1:4">
      <c r="A917" s="12">
        <v>44379</v>
      </c>
      <c r="B917" s="3">
        <v>96</v>
      </c>
      <c r="C917" s="3">
        <v>96</v>
      </c>
      <c r="D917" s="3">
        <f>C917-B917</f>
        <v>0</v>
      </c>
    </row>
    <row r="918" spans="1:4">
      <c r="A918" s="12">
        <v>44380</v>
      </c>
      <c r="B918" s="3">
        <v>96</v>
      </c>
      <c r="C918" s="3">
        <v>96</v>
      </c>
      <c r="D918" s="3">
        <f>C918-B918</f>
        <v>0</v>
      </c>
    </row>
    <row r="919" spans="1:4">
      <c r="A919" s="12">
        <v>44381</v>
      </c>
      <c r="B919" s="3">
        <v>96</v>
      </c>
      <c r="C919" s="3">
        <v>96</v>
      </c>
      <c r="D919" s="3">
        <f>C919-B919</f>
        <v>0</v>
      </c>
    </row>
    <row r="920" spans="1:4">
      <c r="A920" s="12">
        <v>44382</v>
      </c>
      <c r="B920" s="3">
        <v>96</v>
      </c>
      <c r="C920" s="3">
        <v>96</v>
      </c>
      <c r="D920" s="3">
        <f>C920-B920</f>
        <v>0</v>
      </c>
    </row>
    <row r="921" spans="1:4">
      <c r="A921" s="12">
        <v>44383</v>
      </c>
      <c r="B921" s="3">
        <v>96</v>
      </c>
      <c r="C921" s="3">
        <v>96</v>
      </c>
      <c r="D921" s="3">
        <f>C921-B921</f>
        <v>0</v>
      </c>
    </row>
    <row r="922" spans="1:4">
      <c r="A922" s="12">
        <v>44384</v>
      </c>
      <c r="B922" s="3">
        <v>96</v>
      </c>
      <c r="C922" s="3">
        <v>96</v>
      </c>
      <c r="D922" s="3">
        <f>C922-B922</f>
        <v>0</v>
      </c>
    </row>
    <row r="923" spans="1:4">
      <c r="A923" s="12">
        <v>44385</v>
      </c>
      <c r="B923" s="3">
        <v>96</v>
      </c>
      <c r="C923" s="3">
        <v>96</v>
      </c>
      <c r="D923" s="3">
        <f>C923-B923</f>
        <v>0</v>
      </c>
    </row>
    <row r="924" spans="1:4">
      <c r="A924" s="12">
        <v>44386</v>
      </c>
      <c r="B924" s="3">
        <v>96</v>
      </c>
      <c r="C924" s="3">
        <v>96</v>
      </c>
      <c r="D924" s="3">
        <f>C924-B924</f>
        <v>0</v>
      </c>
    </row>
    <row r="925" spans="1:4">
      <c r="A925" s="12">
        <v>44387</v>
      </c>
      <c r="B925" s="3">
        <v>96</v>
      </c>
      <c r="C925" s="3">
        <v>96</v>
      </c>
      <c r="D925" s="3">
        <f>C925-B925</f>
        <v>0</v>
      </c>
    </row>
    <row r="926" spans="1:4">
      <c r="A926" s="12">
        <v>44388</v>
      </c>
      <c r="B926" s="3">
        <v>96</v>
      </c>
      <c r="C926" s="3">
        <v>96</v>
      </c>
      <c r="D926" s="3">
        <f>C926-B926</f>
        <v>0</v>
      </c>
    </row>
    <row r="927" spans="1:4">
      <c r="A927" s="12">
        <v>44389</v>
      </c>
      <c r="B927" s="3">
        <v>96</v>
      </c>
      <c r="C927" s="3">
        <v>96</v>
      </c>
      <c r="D927" s="3">
        <f>C927-B927</f>
        <v>0</v>
      </c>
    </row>
    <row r="928" spans="1:4">
      <c r="A928" s="12">
        <v>44390</v>
      </c>
      <c r="B928" s="3">
        <v>96</v>
      </c>
      <c r="C928" s="3">
        <v>96</v>
      </c>
      <c r="D928" s="3">
        <f>C928-B928</f>
        <v>0</v>
      </c>
    </row>
    <row r="929" spans="1:4">
      <c r="A929" s="12">
        <v>44391</v>
      </c>
      <c r="B929" s="3">
        <v>96</v>
      </c>
      <c r="C929" s="3">
        <v>96</v>
      </c>
      <c r="D929" s="3">
        <f>C929-B929</f>
        <v>0</v>
      </c>
    </row>
    <row r="930" spans="1:4">
      <c r="A930" s="12">
        <v>44392</v>
      </c>
      <c r="B930" s="3">
        <v>96</v>
      </c>
      <c r="C930" s="3">
        <v>96</v>
      </c>
      <c r="D930" s="3">
        <f>C930-B930</f>
        <v>0</v>
      </c>
    </row>
    <row r="931" spans="1:4">
      <c r="A931" s="12">
        <v>44393</v>
      </c>
      <c r="B931" s="3">
        <v>96</v>
      </c>
      <c r="C931" s="3">
        <v>96</v>
      </c>
      <c r="D931" s="3">
        <f>C931-B931</f>
        <v>0</v>
      </c>
    </row>
    <row r="932" spans="1:4">
      <c r="A932" s="12">
        <v>44394</v>
      </c>
      <c r="B932" s="3">
        <v>96</v>
      </c>
      <c r="C932" s="3">
        <v>96</v>
      </c>
      <c r="D932" s="3">
        <f>C932-B932</f>
        <v>0</v>
      </c>
    </row>
    <row r="933" spans="1:4">
      <c r="A933" s="12">
        <v>44395</v>
      </c>
      <c r="B933" s="3">
        <v>96</v>
      </c>
      <c r="C933" s="3">
        <v>96</v>
      </c>
      <c r="D933" s="3">
        <f>C933-B933</f>
        <v>0</v>
      </c>
    </row>
    <row r="934" spans="1:4">
      <c r="A934" s="12">
        <v>44396</v>
      </c>
      <c r="B934" s="3">
        <v>96</v>
      </c>
      <c r="C934" s="3">
        <v>96</v>
      </c>
      <c r="D934" s="3">
        <f>C934-B934</f>
        <v>0</v>
      </c>
    </row>
    <row r="935" spans="1:4">
      <c r="A935" s="12">
        <v>44397</v>
      </c>
      <c r="B935" s="3">
        <v>96</v>
      </c>
      <c r="C935" s="3">
        <v>96</v>
      </c>
      <c r="D935" s="3">
        <f>C935-B935</f>
        <v>0</v>
      </c>
    </row>
    <row r="936" spans="1:4">
      <c r="A936" s="12">
        <v>44398</v>
      </c>
      <c r="B936" s="3">
        <v>96</v>
      </c>
      <c r="C936" s="3">
        <v>96</v>
      </c>
      <c r="D936" s="3">
        <f>C936-B936</f>
        <v>0</v>
      </c>
    </row>
    <row r="937" spans="1:4">
      <c r="A937" s="12">
        <v>44399</v>
      </c>
      <c r="B937" s="3">
        <v>96</v>
      </c>
      <c r="C937" s="3">
        <v>96</v>
      </c>
      <c r="D937" s="3">
        <f>C937-B937</f>
        <v>0</v>
      </c>
    </row>
    <row r="938" spans="1:4">
      <c r="A938" s="12">
        <v>44400</v>
      </c>
      <c r="B938" s="3">
        <v>96</v>
      </c>
      <c r="C938" s="3">
        <v>96</v>
      </c>
      <c r="D938" s="3">
        <f>C938-B938</f>
        <v>0</v>
      </c>
    </row>
    <row r="939" spans="1:4">
      <c r="A939" s="12">
        <v>44401</v>
      </c>
      <c r="B939" s="3">
        <v>96</v>
      </c>
      <c r="C939" s="3">
        <v>96</v>
      </c>
      <c r="D939" s="3">
        <f>C939-B939</f>
        <v>0</v>
      </c>
    </row>
    <row r="940" spans="1:4">
      <c r="A940" s="12">
        <v>44402</v>
      </c>
      <c r="B940" s="3">
        <v>96</v>
      </c>
      <c r="C940" s="3">
        <v>96</v>
      </c>
      <c r="D940" s="3">
        <f>C940-B940</f>
        <v>0</v>
      </c>
    </row>
    <row r="941" spans="1:4">
      <c r="A941" s="12">
        <v>44403</v>
      </c>
      <c r="B941" s="3">
        <v>96</v>
      </c>
      <c r="C941" s="3">
        <v>96</v>
      </c>
      <c r="D941" s="3">
        <f>C941-B941</f>
        <v>0</v>
      </c>
    </row>
    <row r="942" spans="1:4">
      <c r="A942" s="12">
        <v>44404</v>
      </c>
      <c r="B942" s="3">
        <v>96</v>
      </c>
      <c r="C942" s="3">
        <v>96</v>
      </c>
      <c r="D942" s="3">
        <f>C942-B942</f>
        <v>0</v>
      </c>
    </row>
    <row r="943" spans="1:4">
      <c r="A943" s="12">
        <v>44405</v>
      </c>
      <c r="B943" s="3">
        <v>96</v>
      </c>
      <c r="C943" s="3">
        <v>96</v>
      </c>
      <c r="D943" s="3">
        <f>C943-B943</f>
        <v>0</v>
      </c>
    </row>
    <row r="944" spans="1:4">
      <c r="A944" s="12">
        <v>44406</v>
      </c>
      <c r="B944" s="3">
        <v>96</v>
      </c>
      <c r="C944" s="3">
        <v>96</v>
      </c>
      <c r="D944" s="3">
        <f>C944-B944</f>
        <v>0</v>
      </c>
    </row>
    <row r="945" spans="1:4">
      <c r="A945" s="12">
        <v>44407</v>
      </c>
      <c r="B945" s="3">
        <v>96</v>
      </c>
      <c r="C945" s="3">
        <v>96</v>
      </c>
      <c r="D945" s="3">
        <f>C945-B945</f>
        <v>0</v>
      </c>
    </row>
    <row r="946" spans="1:4">
      <c r="A946" s="12">
        <v>44408</v>
      </c>
      <c r="B946" s="3">
        <v>96</v>
      </c>
      <c r="C946" s="3">
        <v>96</v>
      </c>
      <c r="D946" s="3">
        <f>C946-B946</f>
        <v>0</v>
      </c>
    </row>
    <row r="947" spans="1:4">
      <c r="A947" s="12">
        <v>44409</v>
      </c>
      <c r="B947" s="3">
        <v>96</v>
      </c>
      <c r="C947" s="3">
        <v>96</v>
      </c>
      <c r="D947" s="3">
        <f>C947-B947</f>
        <v>0</v>
      </c>
    </row>
    <row r="948" spans="1:4">
      <c r="A948" s="12">
        <v>44410</v>
      </c>
      <c r="B948" s="3">
        <v>96</v>
      </c>
      <c r="C948" s="3">
        <v>96</v>
      </c>
      <c r="D948" s="3">
        <f>C948-B948</f>
        <v>0</v>
      </c>
    </row>
    <row r="949" spans="1:4">
      <c r="A949" s="12">
        <v>44411</v>
      </c>
      <c r="B949" s="3">
        <v>96</v>
      </c>
      <c r="C949" s="3">
        <v>96</v>
      </c>
      <c r="D949" s="3">
        <f>C949-B949</f>
        <v>0</v>
      </c>
    </row>
    <row r="950" spans="1:4">
      <c r="A950" s="12">
        <v>44412</v>
      </c>
      <c r="B950" s="3">
        <v>96</v>
      </c>
      <c r="C950" s="3">
        <v>96</v>
      </c>
      <c r="D950" s="3">
        <f>C950-B950</f>
        <v>0</v>
      </c>
    </row>
    <row r="951" spans="1:4">
      <c r="A951" s="12">
        <v>44413</v>
      </c>
      <c r="B951" s="3">
        <v>96</v>
      </c>
      <c r="C951" s="3">
        <v>96</v>
      </c>
      <c r="D951" s="3">
        <f>C951-B951</f>
        <v>0</v>
      </c>
    </row>
    <row r="952" spans="1:4">
      <c r="A952" s="12">
        <v>44414</v>
      </c>
      <c r="B952" s="3">
        <v>96</v>
      </c>
      <c r="C952" s="3">
        <v>96</v>
      </c>
      <c r="D952" s="3">
        <f>C952-B952</f>
        <v>0</v>
      </c>
    </row>
    <row r="953" spans="1:4">
      <c r="A953" s="12">
        <v>44415</v>
      </c>
      <c r="B953" s="3">
        <v>96</v>
      </c>
      <c r="C953" s="3">
        <v>96</v>
      </c>
      <c r="D953" s="3">
        <f>C953-B953</f>
        <v>0</v>
      </c>
    </row>
    <row r="954" spans="1:4">
      <c r="A954" s="12">
        <v>44416</v>
      </c>
      <c r="B954" s="3">
        <v>96</v>
      </c>
      <c r="C954" s="3">
        <v>96</v>
      </c>
      <c r="D954" s="3">
        <f>C954-B954</f>
        <v>0</v>
      </c>
    </row>
    <row r="955" spans="1:4">
      <c r="A955" s="12">
        <v>44417</v>
      </c>
      <c r="B955" s="3">
        <v>96</v>
      </c>
      <c r="C955" s="3">
        <v>96</v>
      </c>
      <c r="D955" s="3">
        <f>C955-B955</f>
        <v>0</v>
      </c>
    </row>
    <row r="956" spans="1:4">
      <c r="A956" s="12">
        <v>44418</v>
      </c>
      <c r="B956" s="3">
        <v>96</v>
      </c>
      <c r="C956" s="3">
        <v>96</v>
      </c>
      <c r="D956" s="3">
        <f>C956-B956</f>
        <v>0</v>
      </c>
    </row>
    <row r="957" spans="1:4">
      <c r="A957" s="12">
        <v>44419</v>
      </c>
      <c r="B957" s="3">
        <v>96</v>
      </c>
      <c r="C957" s="3">
        <v>96</v>
      </c>
      <c r="D957" s="3">
        <f>C957-B957</f>
        <v>0</v>
      </c>
    </row>
    <row r="958" spans="1:4">
      <c r="A958" s="12">
        <v>44420</v>
      </c>
      <c r="B958" s="3">
        <v>96</v>
      </c>
      <c r="C958" s="3">
        <v>96</v>
      </c>
      <c r="D958" s="3">
        <f>C958-B958</f>
        <v>0</v>
      </c>
    </row>
    <row r="959" spans="1:4">
      <c r="A959" s="12">
        <v>44421</v>
      </c>
      <c r="B959" s="3">
        <v>96</v>
      </c>
      <c r="C959" s="3">
        <v>96</v>
      </c>
      <c r="D959" s="3">
        <f>C959-B959</f>
        <v>0</v>
      </c>
    </row>
    <row r="960" spans="1:4">
      <c r="A960" s="12">
        <v>44422</v>
      </c>
      <c r="B960" s="3">
        <v>96</v>
      </c>
      <c r="C960" s="3">
        <v>96</v>
      </c>
      <c r="D960" s="3">
        <f>C960-B960</f>
        <v>0</v>
      </c>
    </row>
    <row r="961" spans="1:4">
      <c r="A961" s="12">
        <v>44423</v>
      </c>
      <c r="B961" s="3">
        <v>96</v>
      </c>
      <c r="C961" s="3">
        <v>96</v>
      </c>
      <c r="D961" s="3">
        <f>C961-B961</f>
        <v>0</v>
      </c>
    </row>
    <row r="962" spans="1:4">
      <c r="A962" s="12">
        <v>44424</v>
      </c>
      <c r="B962" s="3">
        <v>96</v>
      </c>
      <c r="C962" s="3">
        <v>96</v>
      </c>
      <c r="D962" s="3">
        <f>C962-B962</f>
        <v>0</v>
      </c>
    </row>
    <row r="963" spans="1:4">
      <c r="A963" s="12">
        <v>44425</v>
      </c>
      <c r="B963" s="3">
        <v>96</v>
      </c>
      <c r="C963" s="3">
        <v>96</v>
      </c>
      <c r="D963" s="3">
        <f>C963-B963</f>
        <v>0</v>
      </c>
    </row>
    <row r="964" spans="1:4">
      <c r="A964" s="12">
        <v>44426</v>
      </c>
      <c r="B964" s="3">
        <v>96</v>
      </c>
      <c r="C964" s="3">
        <v>96</v>
      </c>
      <c r="D964" s="3">
        <f>C964-B964</f>
        <v>0</v>
      </c>
    </row>
    <row r="965" spans="1:4">
      <c r="A965" s="12">
        <v>44427</v>
      </c>
      <c r="B965" s="3">
        <v>96</v>
      </c>
      <c r="C965" s="3">
        <v>96</v>
      </c>
      <c r="D965" s="3">
        <f>C965-B965</f>
        <v>0</v>
      </c>
    </row>
    <row r="966" spans="1:4">
      <c r="A966" s="12">
        <v>44428</v>
      </c>
      <c r="B966" s="3">
        <v>96</v>
      </c>
      <c r="C966" s="3">
        <v>96</v>
      </c>
      <c r="D966" s="3">
        <f>C966-B966</f>
        <v>0</v>
      </c>
    </row>
    <row r="967" spans="1:4">
      <c r="A967" s="12">
        <v>44429</v>
      </c>
      <c r="B967" s="3">
        <v>96</v>
      </c>
      <c r="C967" s="3">
        <v>96</v>
      </c>
      <c r="D967" s="3">
        <f>C967-B967</f>
        <v>0</v>
      </c>
    </row>
    <row r="968" spans="1:4">
      <c r="A968" s="12">
        <v>44430</v>
      </c>
      <c r="B968" s="3">
        <v>96</v>
      </c>
      <c r="C968" s="3">
        <v>96</v>
      </c>
      <c r="D968" s="3">
        <f>C968-B968</f>
        <v>0</v>
      </c>
    </row>
    <row r="969" spans="1:4">
      <c r="A969" s="12">
        <v>44431</v>
      </c>
      <c r="B969" s="3">
        <v>96</v>
      </c>
      <c r="C969" s="3">
        <v>96</v>
      </c>
      <c r="D969" s="3">
        <f>C969-B969</f>
        <v>0</v>
      </c>
    </row>
    <row r="970" spans="1:4">
      <c r="A970" s="12">
        <v>44432</v>
      </c>
      <c r="B970" s="3">
        <v>96</v>
      </c>
      <c r="C970" s="3">
        <v>96</v>
      </c>
      <c r="D970" s="3">
        <f>C970-B970</f>
        <v>0</v>
      </c>
    </row>
    <row r="971" spans="1:4">
      <c r="A971" s="12">
        <v>44433</v>
      </c>
      <c r="B971" s="3">
        <v>96</v>
      </c>
      <c r="C971" s="3">
        <v>96</v>
      </c>
      <c r="D971" s="3">
        <f>C971-B971</f>
        <v>0</v>
      </c>
    </row>
    <row r="972" spans="1:4">
      <c r="A972" s="12">
        <v>44434</v>
      </c>
      <c r="B972" s="3">
        <v>96</v>
      </c>
      <c r="C972" s="3">
        <v>96</v>
      </c>
      <c r="D972" s="3">
        <f>C972-B972</f>
        <v>0</v>
      </c>
    </row>
    <row r="973" spans="1:4">
      <c r="A973" s="12">
        <v>44435</v>
      </c>
      <c r="B973" s="3">
        <v>96</v>
      </c>
      <c r="C973" s="3">
        <v>96</v>
      </c>
      <c r="D973" s="3">
        <f>C973-B973</f>
        <v>0</v>
      </c>
    </row>
    <row r="974" spans="1:4">
      <c r="A974" s="12">
        <v>44436</v>
      </c>
      <c r="B974" s="3">
        <v>96</v>
      </c>
      <c r="C974" s="3">
        <v>96</v>
      </c>
      <c r="D974" s="3">
        <f>C974-B974</f>
        <v>0</v>
      </c>
    </row>
    <row r="975" spans="1:4">
      <c r="A975" s="12">
        <v>44437</v>
      </c>
      <c r="B975" s="3">
        <v>96</v>
      </c>
      <c r="C975" s="3">
        <v>96</v>
      </c>
      <c r="D975" s="3">
        <f>C975-B975</f>
        <v>0</v>
      </c>
    </row>
    <row r="976" spans="1:4">
      <c r="A976" s="12">
        <v>44438</v>
      </c>
      <c r="B976" s="3">
        <v>96</v>
      </c>
      <c r="C976" s="3">
        <v>96</v>
      </c>
      <c r="D976" s="3">
        <f>C976-B976</f>
        <v>0</v>
      </c>
    </row>
    <row r="977" spans="1:4">
      <c r="A977" s="12">
        <v>44439</v>
      </c>
      <c r="B977" s="3">
        <v>96</v>
      </c>
      <c r="C977" s="3">
        <v>96</v>
      </c>
      <c r="D977" s="3">
        <f>C977-B977</f>
        <v>0</v>
      </c>
    </row>
    <row r="978" spans="1:4">
      <c r="A978" s="12">
        <v>44440</v>
      </c>
      <c r="B978" s="3">
        <v>96</v>
      </c>
      <c r="C978" s="3">
        <v>96</v>
      </c>
      <c r="D978" s="3">
        <f>C978-B978</f>
        <v>0</v>
      </c>
    </row>
    <row r="979" spans="1:4">
      <c r="A979" s="12">
        <v>44441</v>
      </c>
      <c r="B979" s="3">
        <v>96</v>
      </c>
      <c r="C979" s="3">
        <v>96</v>
      </c>
      <c r="D979" s="3">
        <f>C979-B979</f>
        <v>0</v>
      </c>
    </row>
    <row r="980" spans="1:4">
      <c r="A980" s="12">
        <v>44442</v>
      </c>
      <c r="B980" s="3">
        <v>96</v>
      </c>
      <c r="C980" s="3">
        <v>96</v>
      </c>
      <c r="D980" s="3">
        <f>C980-B980</f>
        <v>0</v>
      </c>
    </row>
    <row r="981" spans="1:4">
      <c r="A981" s="12">
        <v>44443</v>
      </c>
      <c r="B981" s="3">
        <v>96</v>
      </c>
      <c r="C981" s="3">
        <v>96</v>
      </c>
      <c r="D981" s="3">
        <f>C981-B981</f>
        <v>0</v>
      </c>
    </row>
    <row r="982" spans="1:4">
      <c r="A982" s="12">
        <v>44444</v>
      </c>
      <c r="B982" s="3">
        <v>96</v>
      </c>
      <c r="C982" s="3">
        <v>96</v>
      </c>
      <c r="D982" s="3">
        <f>C982-B982</f>
        <v>0</v>
      </c>
    </row>
    <row r="983" spans="1:4">
      <c r="A983" s="12">
        <v>44445</v>
      </c>
      <c r="B983" s="3">
        <v>96</v>
      </c>
      <c r="C983" s="3">
        <v>96</v>
      </c>
      <c r="D983" s="3">
        <f>C983-B983</f>
        <v>0</v>
      </c>
    </row>
    <row r="984" spans="1:4">
      <c r="A984" s="12">
        <v>44446</v>
      </c>
      <c r="B984" s="3">
        <v>96</v>
      </c>
      <c r="C984" s="3">
        <v>96</v>
      </c>
      <c r="D984" s="3">
        <f>C984-B984</f>
        <v>0</v>
      </c>
    </row>
    <row r="985" spans="1:4">
      <c r="A985" s="12">
        <v>44447</v>
      </c>
      <c r="B985" s="3">
        <v>96</v>
      </c>
      <c r="C985" s="3">
        <v>96</v>
      </c>
      <c r="D985" s="3">
        <f>C985-B985</f>
        <v>0</v>
      </c>
    </row>
    <row r="986" spans="1:4">
      <c r="A986" s="12">
        <v>44448</v>
      </c>
      <c r="B986" s="3">
        <v>96</v>
      </c>
      <c r="C986" s="3">
        <v>96</v>
      </c>
      <c r="D986" s="3">
        <f>C986-B986</f>
        <v>0</v>
      </c>
    </row>
    <row r="987" spans="1:4">
      <c r="A987" s="12">
        <v>44449</v>
      </c>
      <c r="B987" s="3">
        <v>96</v>
      </c>
      <c r="C987" s="3">
        <v>96</v>
      </c>
      <c r="D987" s="3">
        <f>C987-B987</f>
        <v>0</v>
      </c>
    </row>
    <row r="988" spans="1:4">
      <c r="A988" s="12">
        <v>44450</v>
      </c>
      <c r="B988" s="3">
        <v>96</v>
      </c>
      <c r="C988" s="3">
        <v>96</v>
      </c>
      <c r="D988" s="3">
        <f>C988-B988</f>
        <v>0</v>
      </c>
    </row>
    <row r="989" spans="1:4">
      <c r="A989" s="12">
        <v>44451</v>
      </c>
      <c r="B989" s="3">
        <v>96</v>
      </c>
      <c r="C989" s="3">
        <v>96</v>
      </c>
      <c r="D989" s="3">
        <f>C989-B989</f>
        <v>0</v>
      </c>
    </row>
    <row r="990" spans="1:4">
      <c r="A990" s="12">
        <v>44452</v>
      </c>
      <c r="B990" s="3">
        <v>96</v>
      </c>
      <c r="C990" s="3">
        <v>96</v>
      </c>
      <c r="D990" s="3">
        <f>C990-B990</f>
        <v>0</v>
      </c>
    </row>
    <row r="991" spans="1:4">
      <c r="A991" s="12">
        <v>44453</v>
      </c>
      <c r="B991" s="3">
        <v>96</v>
      </c>
      <c r="C991" s="3">
        <v>96</v>
      </c>
      <c r="D991" s="3">
        <f>C991-B991</f>
        <v>0</v>
      </c>
    </row>
    <row r="992" spans="1:4">
      <c r="A992" s="12">
        <v>44454</v>
      </c>
      <c r="B992" s="3">
        <v>96</v>
      </c>
      <c r="C992" s="3">
        <v>96</v>
      </c>
      <c r="D992" s="3">
        <f>C992-B992</f>
        <v>0</v>
      </c>
    </row>
    <row r="993" spans="1:4">
      <c r="A993" s="12">
        <v>44455</v>
      </c>
      <c r="B993" s="3">
        <v>96</v>
      </c>
      <c r="C993" s="3">
        <v>96</v>
      </c>
      <c r="D993" s="3">
        <f>C993-B993</f>
        <v>0</v>
      </c>
    </row>
    <row r="994" spans="1:4">
      <c r="A994" s="12">
        <v>44456</v>
      </c>
      <c r="B994" s="3">
        <v>96</v>
      </c>
      <c r="C994" s="3">
        <v>96</v>
      </c>
      <c r="D994" s="3">
        <f>C994-B994</f>
        <v>0</v>
      </c>
    </row>
    <row r="995" spans="1:4">
      <c r="A995" s="12">
        <v>44457</v>
      </c>
      <c r="B995" s="3">
        <v>96</v>
      </c>
      <c r="C995" s="3">
        <v>96</v>
      </c>
      <c r="D995" s="3">
        <f>C995-B995</f>
        <v>0</v>
      </c>
    </row>
    <row r="996" spans="1:4">
      <c r="A996" s="12">
        <v>44458</v>
      </c>
      <c r="B996" s="3">
        <v>96</v>
      </c>
      <c r="C996" s="3">
        <v>96</v>
      </c>
      <c r="D996" s="3">
        <f>C996-B996</f>
        <v>0</v>
      </c>
    </row>
    <row r="997" spans="1:4">
      <c r="A997" s="12">
        <v>44459</v>
      </c>
      <c r="B997" s="3">
        <v>96</v>
      </c>
      <c r="C997" s="3">
        <v>96</v>
      </c>
      <c r="D997" s="3">
        <f>C997-B997</f>
        <v>0</v>
      </c>
    </row>
    <row r="998" spans="1:4">
      <c r="A998" s="12">
        <v>44460</v>
      </c>
      <c r="B998" s="3">
        <v>96</v>
      </c>
      <c r="C998" s="3">
        <v>96</v>
      </c>
      <c r="D998" s="3">
        <f>C998-B998</f>
        <v>0</v>
      </c>
    </row>
    <row r="999" spans="1:4">
      <c r="A999" s="12">
        <v>44461</v>
      </c>
      <c r="B999" s="3">
        <v>96</v>
      </c>
      <c r="C999" s="3">
        <v>96</v>
      </c>
      <c r="D999" s="3">
        <f>C999-B999</f>
        <v>0</v>
      </c>
    </row>
    <row r="1000" spans="1:4">
      <c r="A1000" s="12">
        <v>44462</v>
      </c>
      <c r="B1000" s="3">
        <v>96</v>
      </c>
      <c r="C1000" s="3">
        <v>96</v>
      </c>
      <c r="D1000" s="3">
        <f>C1000-B1000</f>
        <v>0</v>
      </c>
    </row>
    <row r="1001" spans="1:4">
      <c r="A1001" s="12">
        <v>44463</v>
      </c>
      <c r="B1001" s="3">
        <v>96</v>
      </c>
      <c r="C1001" s="3">
        <v>96</v>
      </c>
      <c r="D1001" s="3">
        <f>C1001-B1001</f>
        <v>0</v>
      </c>
    </row>
    <row r="1002" spans="1:4">
      <c r="A1002" s="12">
        <v>44464</v>
      </c>
      <c r="B1002" s="3">
        <v>96</v>
      </c>
      <c r="C1002" s="3">
        <v>96</v>
      </c>
      <c r="D1002" s="3">
        <f>C1002-B1002</f>
        <v>0</v>
      </c>
    </row>
    <row r="1003" spans="1:4">
      <c r="A1003" s="12">
        <v>44465</v>
      </c>
      <c r="B1003" s="3">
        <v>96</v>
      </c>
      <c r="C1003" s="3">
        <v>96</v>
      </c>
      <c r="D1003" s="3">
        <f>C1003-B1003</f>
        <v>0</v>
      </c>
    </row>
    <row r="1004" spans="1:4">
      <c r="A1004" s="12">
        <v>44466</v>
      </c>
      <c r="B1004" s="3">
        <v>96</v>
      </c>
      <c r="C1004" s="3">
        <v>96</v>
      </c>
      <c r="D1004" s="3">
        <f>C1004-B1004</f>
        <v>0</v>
      </c>
    </row>
    <row r="1005" spans="1:4">
      <c r="A1005" s="12">
        <v>44467</v>
      </c>
      <c r="B1005" s="3">
        <v>96</v>
      </c>
      <c r="C1005" s="3">
        <v>96</v>
      </c>
      <c r="D1005" s="3">
        <f>C1005-B1005</f>
        <v>0</v>
      </c>
    </row>
    <row r="1006" spans="1:4">
      <c r="A1006" s="12">
        <v>44468</v>
      </c>
      <c r="B1006" s="3">
        <v>96</v>
      </c>
      <c r="C1006" s="3">
        <v>96</v>
      </c>
      <c r="D1006" s="3">
        <f>C1006-B1006</f>
        <v>0</v>
      </c>
    </row>
    <row r="1007" spans="1:4">
      <c r="A1007" s="12">
        <v>44469</v>
      </c>
      <c r="B1007" s="3">
        <v>96</v>
      </c>
      <c r="C1007" s="3">
        <v>96</v>
      </c>
      <c r="D1007" s="3">
        <f>C1007-B1007</f>
        <v>0</v>
      </c>
    </row>
    <row r="1008" spans="1:4">
      <c r="A1008" s="12">
        <v>44470</v>
      </c>
      <c r="B1008" s="3">
        <v>96</v>
      </c>
      <c r="C1008" s="3">
        <v>96</v>
      </c>
      <c r="D1008" s="3">
        <f>C1008-B1008</f>
        <v>0</v>
      </c>
    </row>
    <row r="1009" spans="1:4">
      <c r="A1009" s="12">
        <v>44471</v>
      </c>
      <c r="B1009" s="3">
        <v>96</v>
      </c>
      <c r="C1009" s="3">
        <v>96</v>
      </c>
      <c r="D1009" s="3">
        <f>C1009-B1009</f>
        <v>0</v>
      </c>
    </row>
    <row r="1010" spans="1:4">
      <c r="A1010" s="12">
        <v>44472</v>
      </c>
      <c r="B1010" s="3">
        <v>96</v>
      </c>
      <c r="C1010" s="3">
        <v>96</v>
      </c>
      <c r="D1010" s="3">
        <f>C1010-B1010</f>
        <v>0</v>
      </c>
    </row>
    <row r="1011" spans="1:4">
      <c r="A1011" s="12">
        <v>44473</v>
      </c>
      <c r="B1011" s="3">
        <v>96</v>
      </c>
      <c r="C1011" s="3">
        <v>96</v>
      </c>
      <c r="D1011" s="3">
        <f>C1011-B1011</f>
        <v>0</v>
      </c>
    </row>
    <row r="1012" spans="1:4">
      <c r="A1012" s="12">
        <v>44474</v>
      </c>
      <c r="B1012" s="3">
        <v>96</v>
      </c>
      <c r="C1012" s="3">
        <v>96</v>
      </c>
      <c r="D1012" s="3">
        <f>C1012-B1012</f>
        <v>0</v>
      </c>
    </row>
    <row r="1013" spans="1:4">
      <c r="A1013" s="12">
        <v>44475</v>
      </c>
      <c r="B1013" s="3">
        <v>96</v>
      </c>
      <c r="C1013" s="3">
        <v>96</v>
      </c>
      <c r="D1013" s="3">
        <f>C1013-B1013</f>
        <v>0</v>
      </c>
    </row>
    <row r="1014" spans="1:4">
      <c r="A1014" s="12">
        <v>44476</v>
      </c>
      <c r="B1014" s="3">
        <v>96</v>
      </c>
      <c r="C1014" s="3">
        <v>96</v>
      </c>
      <c r="D1014" s="3">
        <f>C1014-B1014</f>
        <v>0</v>
      </c>
    </row>
    <row r="1015" spans="1:4">
      <c r="A1015" s="12">
        <v>44477</v>
      </c>
      <c r="B1015" s="3">
        <v>96</v>
      </c>
      <c r="C1015" s="3">
        <v>96</v>
      </c>
      <c r="D1015" s="3">
        <f>C1015-B1015</f>
        <v>0</v>
      </c>
    </row>
    <row r="1016" spans="1:4">
      <c r="A1016" s="12">
        <v>44478</v>
      </c>
      <c r="B1016" s="3">
        <v>96</v>
      </c>
      <c r="C1016" s="3">
        <v>96</v>
      </c>
      <c r="D1016" s="3">
        <f>C1016-B1016</f>
        <v>0</v>
      </c>
    </row>
    <row r="1017" spans="1:4">
      <c r="A1017" s="12">
        <v>44479</v>
      </c>
      <c r="B1017" s="3">
        <v>96</v>
      </c>
      <c r="C1017" s="3">
        <v>96</v>
      </c>
      <c r="D1017" s="3">
        <f>C1017-B1017</f>
        <v>0</v>
      </c>
    </row>
    <row r="1018" spans="1:4">
      <c r="A1018" s="12">
        <v>44480</v>
      </c>
      <c r="B1018" s="3">
        <v>96</v>
      </c>
      <c r="C1018" s="3">
        <v>96</v>
      </c>
      <c r="D1018" s="3">
        <f>C1018-B1018</f>
        <v>0</v>
      </c>
    </row>
    <row r="1019" spans="1:4">
      <c r="A1019" s="12">
        <v>44481</v>
      </c>
      <c r="B1019" s="3">
        <v>96</v>
      </c>
      <c r="C1019" s="3">
        <v>96</v>
      </c>
      <c r="D1019" s="3">
        <f>C1019-B1019</f>
        <v>0</v>
      </c>
    </row>
    <row r="1020" spans="1:4">
      <c r="A1020" s="12">
        <v>44482</v>
      </c>
      <c r="B1020" s="3">
        <v>96</v>
      </c>
      <c r="C1020" s="3">
        <v>96</v>
      </c>
      <c r="D1020" s="3">
        <f>C1020-B1020</f>
        <v>0</v>
      </c>
    </row>
    <row r="1021" spans="1:4">
      <c r="A1021" s="12">
        <v>44483</v>
      </c>
      <c r="B1021" s="3">
        <v>96</v>
      </c>
      <c r="C1021" s="3">
        <v>96</v>
      </c>
      <c r="D1021" s="3">
        <f>C1021-B1021</f>
        <v>0</v>
      </c>
    </row>
    <row r="1022" spans="1:4">
      <c r="A1022" s="12">
        <v>44484</v>
      </c>
      <c r="B1022" s="3">
        <v>96</v>
      </c>
      <c r="C1022" s="3">
        <v>96</v>
      </c>
      <c r="D1022" s="3">
        <f>C1022-B1022</f>
        <v>0</v>
      </c>
    </row>
    <row r="1023" spans="1:4">
      <c r="A1023" s="12">
        <v>44485</v>
      </c>
      <c r="B1023" s="3">
        <v>96</v>
      </c>
      <c r="C1023" s="3">
        <v>96</v>
      </c>
      <c r="D1023" s="3">
        <f>C1023-B1023</f>
        <v>0</v>
      </c>
    </row>
    <row r="1024" spans="1:4">
      <c r="A1024" s="12">
        <v>44486</v>
      </c>
      <c r="B1024" s="3">
        <v>96</v>
      </c>
      <c r="C1024" s="3">
        <v>96</v>
      </c>
      <c r="D1024" s="3">
        <f>C1024-B1024</f>
        <v>0</v>
      </c>
    </row>
    <row r="1025" spans="1:4">
      <c r="A1025" s="12">
        <v>44487</v>
      </c>
      <c r="B1025" s="3">
        <v>96</v>
      </c>
      <c r="C1025" s="3">
        <v>96</v>
      </c>
      <c r="D1025" s="3">
        <f>C1025-B1025</f>
        <v>0</v>
      </c>
    </row>
    <row r="1026" spans="1:4">
      <c r="A1026" s="12">
        <v>44488</v>
      </c>
      <c r="B1026" s="3">
        <v>96</v>
      </c>
      <c r="C1026" s="3">
        <v>96</v>
      </c>
      <c r="D1026" s="3">
        <f>C1026-B1026</f>
        <v>0</v>
      </c>
    </row>
    <row r="1027" spans="1:4">
      <c r="A1027" s="12">
        <v>44489</v>
      </c>
      <c r="B1027" s="3">
        <v>96</v>
      </c>
      <c r="C1027" s="3">
        <v>96</v>
      </c>
      <c r="D1027" s="3">
        <f>C1027-B1027</f>
        <v>0</v>
      </c>
    </row>
    <row r="1028" spans="1:4">
      <c r="A1028" s="12">
        <v>44490</v>
      </c>
      <c r="B1028" s="3">
        <v>96</v>
      </c>
      <c r="C1028" s="3">
        <v>96</v>
      </c>
      <c r="D1028" s="3">
        <f>C1028-B1028</f>
        <v>0</v>
      </c>
    </row>
    <row r="1029" spans="1:4">
      <c r="A1029" s="12">
        <v>44491</v>
      </c>
      <c r="B1029" s="3">
        <v>96</v>
      </c>
      <c r="C1029" s="3">
        <v>96</v>
      </c>
      <c r="D1029" s="3">
        <f>C1029-B1029</f>
        <v>0</v>
      </c>
    </row>
    <row r="1030" spans="1:4">
      <c r="A1030" s="12">
        <v>44492</v>
      </c>
      <c r="B1030" s="3">
        <v>96</v>
      </c>
      <c r="C1030" s="3">
        <v>96</v>
      </c>
      <c r="D1030" s="3">
        <f>C1030-B1030</f>
        <v>0</v>
      </c>
    </row>
    <row r="1031" spans="1:4">
      <c r="A1031" s="12">
        <v>44493</v>
      </c>
      <c r="B1031" s="3">
        <v>96</v>
      </c>
      <c r="C1031" s="3">
        <v>96</v>
      </c>
      <c r="D1031" s="3">
        <f>C1031-B1031</f>
        <v>0</v>
      </c>
    </row>
    <row r="1032" spans="1:4">
      <c r="A1032" s="12">
        <v>44494</v>
      </c>
      <c r="B1032" s="3">
        <v>96</v>
      </c>
      <c r="C1032" s="3">
        <v>96</v>
      </c>
      <c r="D1032" s="3">
        <f>C1032-B1032</f>
        <v>0</v>
      </c>
    </row>
    <row r="1033" spans="1:4">
      <c r="A1033" s="12">
        <v>44495</v>
      </c>
      <c r="B1033" s="3">
        <v>96</v>
      </c>
      <c r="C1033" s="3">
        <v>96</v>
      </c>
      <c r="D1033" s="3">
        <f>C1033-B1033</f>
        <v>0</v>
      </c>
    </row>
    <row r="1034" spans="1:4">
      <c r="A1034" s="12">
        <v>44496</v>
      </c>
      <c r="B1034" s="3">
        <v>96</v>
      </c>
      <c r="C1034" s="3">
        <v>96</v>
      </c>
      <c r="D1034" s="3">
        <f>C1034-B1034</f>
        <v>0</v>
      </c>
    </row>
    <row r="1035" spans="1:4">
      <c r="A1035" s="12">
        <v>44497</v>
      </c>
      <c r="B1035" s="3">
        <v>96</v>
      </c>
      <c r="C1035" s="3">
        <v>96</v>
      </c>
      <c r="D1035" s="3">
        <f>C1035-B1035</f>
        <v>0</v>
      </c>
    </row>
    <row r="1036" spans="1:4">
      <c r="A1036" s="12">
        <v>44498</v>
      </c>
      <c r="B1036" s="3">
        <v>96</v>
      </c>
      <c r="C1036" s="3">
        <v>96</v>
      </c>
      <c r="D1036" s="3">
        <f>C1036-B1036</f>
        <v>0</v>
      </c>
    </row>
    <row r="1037" spans="1:4">
      <c r="A1037" s="12">
        <v>44499</v>
      </c>
      <c r="B1037" s="3">
        <v>96</v>
      </c>
      <c r="C1037" s="3">
        <v>96</v>
      </c>
      <c r="D1037" s="3">
        <f>C1037-B1037</f>
        <v>0</v>
      </c>
    </row>
    <row r="1038" spans="1:4">
      <c r="A1038" s="12">
        <v>44500</v>
      </c>
      <c r="B1038" s="3">
        <v>100</v>
      </c>
      <c r="C1038" s="3">
        <v>100</v>
      </c>
      <c r="D1038" s="3">
        <f>C1038-B1038</f>
        <v>0</v>
      </c>
    </row>
    <row r="1039" spans="1:4">
      <c r="A1039" s="12">
        <v>44501</v>
      </c>
      <c r="B1039" s="3">
        <v>96</v>
      </c>
      <c r="C1039" s="3">
        <v>96</v>
      </c>
      <c r="D1039" s="3">
        <f>C1039-B1039</f>
        <v>0</v>
      </c>
    </row>
    <row r="1040" spans="1:4">
      <c r="A1040" s="12">
        <v>44502</v>
      </c>
      <c r="B1040" s="3">
        <v>96</v>
      </c>
      <c r="C1040" s="3">
        <v>96</v>
      </c>
      <c r="D1040" s="3">
        <f>C1040-B1040</f>
        <v>0</v>
      </c>
    </row>
    <row r="1041" spans="1:4">
      <c r="A1041" s="12">
        <v>44503</v>
      </c>
      <c r="B1041" s="3">
        <v>96</v>
      </c>
      <c r="C1041" s="3">
        <v>96</v>
      </c>
      <c r="D1041" s="3">
        <f>C1041-B1041</f>
        <v>0</v>
      </c>
    </row>
    <row r="1042" spans="1:4">
      <c r="A1042" s="12">
        <v>44504</v>
      </c>
      <c r="B1042" s="3">
        <v>96</v>
      </c>
      <c r="C1042" s="3">
        <v>96</v>
      </c>
      <c r="D1042" s="3">
        <f>C1042-B1042</f>
        <v>0</v>
      </c>
    </row>
    <row r="1043" spans="1:4">
      <c r="A1043" s="12">
        <v>44505</v>
      </c>
      <c r="B1043" s="3">
        <v>96</v>
      </c>
      <c r="C1043" s="3">
        <v>96</v>
      </c>
      <c r="D1043" s="3">
        <f>C1043-B1043</f>
        <v>0</v>
      </c>
    </row>
    <row r="1044" spans="1:4">
      <c r="A1044" s="12">
        <v>44506</v>
      </c>
      <c r="B1044" s="3">
        <v>96</v>
      </c>
      <c r="C1044" s="3">
        <v>96</v>
      </c>
      <c r="D1044" s="3">
        <f>C1044-B1044</f>
        <v>0</v>
      </c>
    </row>
    <row r="1045" spans="1:4">
      <c r="A1045" s="12">
        <v>44507</v>
      </c>
      <c r="B1045" s="3">
        <v>96</v>
      </c>
      <c r="C1045" s="3">
        <v>96</v>
      </c>
      <c r="D1045" s="3">
        <f>C1045-B1045</f>
        <v>0</v>
      </c>
    </row>
    <row r="1046" spans="1:4">
      <c r="A1046" s="12">
        <v>44508</v>
      </c>
      <c r="B1046" s="3">
        <v>96</v>
      </c>
      <c r="C1046" s="3">
        <v>96</v>
      </c>
      <c r="D1046" s="3">
        <f>C1046-B1046</f>
        <v>0</v>
      </c>
    </row>
    <row r="1047" spans="1:4">
      <c r="A1047" s="12">
        <v>44509</v>
      </c>
      <c r="B1047" s="3">
        <v>96</v>
      </c>
      <c r="C1047" s="3">
        <v>96</v>
      </c>
      <c r="D1047" s="3">
        <f>C1047-B1047</f>
        <v>0</v>
      </c>
    </row>
    <row r="1048" spans="1:4">
      <c r="A1048" s="12">
        <v>44510</v>
      </c>
      <c r="B1048" s="3">
        <v>96</v>
      </c>
      <c r="C1048" s="3">
        <v>96</v>
      </c>
      <c r="D1048" s="3">
        <f>C1048-B1048</f>
        <v>0</v>
      </c>
    </row>
    <row r="1049" spans="1:4">
      <c r="A1049" s="12">
        <v>44511</v>
      </c>
      <c r="B1049" s="3">
        <v>96</v>
      </c>
      <c r="C1049" s="3">
        <v>96</v>
      </c>
      <c r="D1049" s="3">
        <f>C1049-B1049</f>
        <v>0</v>
      </c>
    </row>
    <row r="1050" spans="1:4">
      <c r="A1050" s="12">
        <v>44512</v>
      </c>
      <c r="B1050" s="3">
        <v>96</v>
      </c>
      <c r="C1050" s="3">
        <v>96</v>
      </c>
      <c r="D1050" s="3">
        <f>C1050-B1050</f>
        <v>0</v>
      </c>
    </row>
    <row r="1051" spans="1:4">
      <c r="A1051" s="12">
        <v>44513</v>
      </c>
      <c r="B1051" s="3">
        <v>96</v>
      </c>
      <c r="C1051" s="3">
        <v>96</v>
      </c>
      <c r="D1051" s="3">
        <f>C1051-B1051</f>
        <v>0</v>
      </c>
    </row>
    <row r="1052" spans="1:4">
      <c r="A1052" s="12">
        <v>44514</v>
      </c>
      <c r="B1052" s="3">
        <v>96</v>
      </c>
      <c r="C1052" s="3">
        <v>96</v>
      </c>
      <c r="D1052" s="3">
        <f>C1052-B1052</f>
        <v>0</v>
      </c>
    </row>
    <row r="1053" spans="1:4">
      <c r="A1053" s="12">
        <v>44515</v>
      </c>
      <c r="B1053" s="3">
        <v>96</v>
      </c>
      <c r="C1053" s="3">
        <v>96</v>
      </c>
      <c r="D1053" s="3">
        <f>C1053-B1053</f>
        <v>0</v>
      </c>
    </row>
    <row r="1054" spans="1:4">
      <c r="A1054" s="12">
        <v>44516</v>
      </c>
      <c r="B1054" s="3">
        <v>96</v>
      </c>
      <c r="C1054" s="3">
        <v>96</v>
      </c>
      <c r="D1054" s="3">
        <f>C1054-B1054</f>
        <v>0</v>
      </c>
    </row>
    <row r="1055" spans="1:4">
      <c r="A1055" s="12">
        <v>44517</v>
      </c>
      <c r="B1055" s="3">
        <v>96</v>
      </c>
      <c r="C1055" s="3">
        <v>96</v>
      </c>
      <c r="D1055" s="3">
        <f>C1055-B1055</f>
        <v>0</v>
      </c>
    </row>
    <row r="1056" spans="1:4">
      <c r="A1056" s="12">
        <v>44518</v>
      </c>
      <c r="B1056" s="3">
        <v>96</v>
      </c>
      <c r="C1056" s="3">
        <v>96</v>
      </c>
      <c r="D1056" s="3">
        <f>C1056-B1056</f>
        <v>0</v>
      </c>
    </row>
    <row r="1057" spans="1:4">
      <c r="A1057" s="12">
        <v>44519</v>
      </c>
      <c r="B1057" s="3">
        <v>96</v>
      </c>
      <c r="C1057" s="3">
        <v>96</v>
      </c>
      <c r="D1057" s="3">
        <f>C1057-B1057</f>
        <v>0</v>
      </c>
    </row>
    <row r="1058" spans="1:4">
      <c r="A1058" s="12">
        <v>44520</v>
      </c>
      <c r="B1058" s="3">
        <v>96</v>
      </c>
      <c r="C1058" s="3">
        <v>96</v>
      </c>
      <c r="D1058" s="3">
        <f>C1058-B1058</f>
        <v>0</v>
      </c>
    </row>
    <row r="1059" spans="1:4">
      <c r="A1059" s="12">
        <v>44521</v>
      </c>
      <c r="B1059" s="3">
        <v>96</v>
      </c>
      <c r="C1059" s="3">
        <v>96</v>
      </c>
      <c r="D1059" s="3">
        <f>C1059-B1059</f>
        <v>0</v>
      </c>
    </row>
    <row r="1060" spans="1:4">
      <c r="A1060" s="12">
        <v>44522</v>
      </c>
      <c r="B1060" s="3">
        <v>96</v>
      </c>
      <c r="C1060" s="3">
        <v>96</v>
      </c>
      <c r="D1060" s="3">
        <f>C1060-B1060</f>
        <v>0</v>
      </c>
    </row>
    <row r="1061" spans="1:4">
      <c r="A1061" s="12">
        <v>44523</v>
      </c>
      <c r="B1061" s="3">
        <v>96</v>
      </c>
      <c r="C1061" s="3">
        <v>96</v>
      </c>
      <c r="D1061" s="3">
        <f>C1061-B1061</f>
        <v>0</v>
      </c>
    </row>
    <row r="1062" spans="1:4">
      <c r="A1062" s="12">
        <v>44524</v>
      </c>
      <c r="B1062" s="3">
        <v>96</v>
      </c>
      <c r="C1062" s="3">
        <v>96</v>
      </c>
      <c r="D1062" s="3">
        <f>C1062-B1062</f>
        <v>0</v>
      </c>
    </row>
    <row r="1063" spans="1:4">
      <c r="A1063" s="12">
        <v>44525</v>
      </c>
      <c r="B1063" s="3">
        <v>96</v>
      </c>
      <c r="C1063" s="3">
        <v>96</v>
      </c>
      <c r="D1063" s="3">
        <f>C1063-B1063</f>
        <v>0</v>
      </c>
    </row>
    <row r="1064" spans="1:4">
      <c r="A1064" s="12">
        <v>44526</v>
      </c>
      <c r="B1064" s="3">
        <v>96</v>
      </c>
      <c r="C1064" s="3">
        <v>96</v>
      </c>
      <c r="D1064" s="3">
        <f>C1064-B1064</f>
        <v>0</v>
      </c>
    </row>
    <row r="1065" spans="1:4">
      <c r="A1065" s="12">
        <v>44527</v>
      </c>
      <c r="B1065" s="3">
        <v>96</v>
      </c>
      <c r="C1065" s="3">
        <v>96</v>
      </c>
      <c r="D1065" s="3">
        <f>C1065-B1065</f>
        <v>0</v>
      </c>
    </row>
    <row r="1066" spans="1:4">
      <c r="A1066" s="12">
        <v>44528</v>
      </c>
      <c r="B1066" s="3">
        <v>96</v>
      </c>
      <c r="C1066" s="3">
        <v>96</v>
      </c>
      <c r="D1066" s="3">
        <f>C1066-B1066</f>
        <v>0</v>
      </c>
    </row>
    <row r="1067" spans="1:4">
      <c r="A1067" s="12">
        <v>44529</v>
      </c>
      <c r="B1067" s="3">
        <v>96</v>
      </c>
      <c r="C1067" s="3">
        <v>96</v>
      </c>
      <c r="D1067" s="3">
        <f>C1067-B1067</f>
        <v>0</v>
      </c>
    </row>
    <row r="1068" spans="1:4">
      <c r="A1068" s="12">
        <v>44530</v>
      </c>
      <c r="B1068" s="3">
        <v>96</v>
      </c>
      <c r="C1068" s="3">
        <v>96</v>
      </c>
      <c r="D1068" s="3">
        <f>C1068-B1068</f>
        <v>0</v>
      </c>
    </row>
    <row r="1069" spans="1:4">
      <c r="A1069" s="12">
        <v>44531</v>
      </c>
      <c r="B1069" s="3">
        <v>96</v>
      </c>
      <c r="C1069" s="3">
        <v>96</v>
      </c>
      <c r="D1069" s="3">
        <f>C1069-B1069</f>
        <v>0</v>
      </c>
    </row>
    <row r="1070" spans="1:4">
      <c r="A1070" s="12">
        <v>44532</v>
      </c>
      <c r="B1070" s="3">
        <v>96</v>
      </c>
      <c r="C1070" s="3">
        <v>96</v>
      </c>
      <c r="D1070" s="3">
        <f>C1070-B1070</f>
        <v>0</v>
      </c>
    </row>
    <row r="1071" spans="1:4">
      <c r="A1071" s="12">
        <v>44533</v>
      </c>
      <c r="B1071" s="3">
        <v>96</v>
      </c>
      <c r="C1071" s="3">
        <v>96</v>
      </c>
      <c r="D1071" s="3">
        <f>C1071-B1071</f>
        <v>0</v>
      </c>
    </row>
    <row r="1072" spans="1:4">
      <c r="A1072" s="12">
        <v>44534</v>
      </c>
      <c r="B1072" s="3">
        <v>96</v>
      </c>
      <c r="C1072" s="3">
        <v>96</v>
      </c>
      <c r="D1072" s="3">
        <f>C1072-B1072</f>
        <v>0</v>
      </c>
    </row>
    <row r="1073" spans="1:4">
      <c r="A1073" s="12">
        <v>44535</v>
      </c>
      <c r="B1073" s="3">
        <v>96</v>
      </c>
      <c r="C1073" s="3">
        <v>96</v>
      </c>
      <c r="D1073" s="3">
        <f>C1073-B1073</f>
        <v>0</v>
      </c>
    </row>
    <row r="1074" spans="1:4">
      <c r="A1074" s="12">
        <v>44536</v>
      </c>
      <c r="B1074" s="3">
        <v>96</v>
      </c>
      <c r="C1074" s="3">
        <v>96</v>
      </c>
      <c r="D1074" s="3">
        <f>C1074-B1074</f>
        <v>0</v>
      </c>
    </row>
    <row r="1075" spans="1:4">
      <c r="A1075" s="12">
        <v>44537</v>
      </c>
      <c r="B1075" s="3">
        <v>96</v>
      </c>
      <c r="C1075" s="3">
        <v>96</v>
      </c>
      <c r="D1075" s="3">
        <f>C1075-B1075</f>
        <v>0</v>
      </c>
    </row>
    <row r="1076" spans="1:4">
      <c r="A1076" s="12">
        <v>44538</v>
      </c>
      <c r="B1076" s="3">
        <v>96</v>
      </c>
      <c r="C1076" s="3">
        <v>96</v>
      </c>
      <c r="D1076" s="3">
        <f>C1076-B1076</f>
        <v>0</v>
      </c>
    </row>
    <row r="1077" spans="1:4">
      <c r="A1077" s="12">
        <v>44539</v>
      </c>
      <c r="B1077" s="3">
        <v>96</v>
      </c>
      <c r="C1077" s="3">
        <v>96</v>
      </c>
      <c r="D1077" s="3">
        <f>C1077-B1077</f>
        <v>0</v>
      </c>
    </row>
    <row r="1078" spans="1:4">
      <c r="A1078" s="12">
        <v>44540</v>
      </c>
      <c r="B1078" s="3">
        <v>96</v>
      </c>
      <c r="C1078" s="3">
        <v>96</v>
      </c>
      <c r="D1078" s="3">
        <f>C1078-B1078</f>
        <v>0</v>
      </c>
    </row>
    <row r="1079" spans="1:4">
      <c r="A1079" s="12">
        <v>44541</v>
      </c>
      <c r="B1079" s="3">
        <v>96</v>
      </c>
      <c r="C1079" s="3">
        <v>96</v>
      </c>
      <c r="D1079" s="3">
        <f>C1079-B1079</f>
        <v>0</v>
      </c>
    </row>
    <row r="1080" spans="1:4">
      <c r="A1080" s="12">
        <v>44542</v>
      </c>
      <c r="B1080" s="3">
        <v>96</v>
      </c>
      <c r="C1080" s="3">
        <v>96</v>
      </c>
      <c r="D1080" s="3">
        <f>C1080-B1080</f>
        <v>0</v>
      </c>
    </row>
    <row r="1081" spans="1:4">
      <c r="A1081" s="12">
        <v>44543</v>
      </c>
      <c r="B1081" s="3">
        <v>96</v>
      </c>
      <c r="C1081" s="3">
        <v>96</v>
      </c>
      <c r="D1081" s="3">
        <f>C1081-B1081</f>
        <v>0</v>
      </c>
    </row>
    <row r="1082" spans="1:4">
      <c r="A1082" s="12">
        <v>44544</v>
      </c>
      <c r="B1082" s="3">
        <v>96</v>
      </c>
      <c r="C1082" s="3">
        <v>96</v>
      </c>
      <c r="D1082" s="3">
        <f>C1082-B1082</f>
        <v>0</v>
      </c>
    </row>
    <row r="1083" spans="1:4">
      <c r="A1083" s="12">
        <v>44545</v>
      </c>
      <c r="B1083" s="3">
        <v>96</v>
      </c>
      <c r="C1083" s="3">
        <v>96</v>
      </c>
      <c r="D1083" s="3">
        <f>C1083-B1083</f>
        <v>0</v>
      </c>
    </row>
    <row r="1084" spans="1:4">
      <c r="A1084" s="12">
        <v>44546</v>
      </c>
      <c r="B1084" s="3">
        <v>96</v>
      </c>
      <c r="C1084" s="3">
        <v>96</v>
      </c>
      <c r="D1084" s="3">
        <f>C1084-B1084</f>
        <v>0</v>
      </c>
    </row>
    <row r="1085" spans="1:4">
      <c r="A1085" s="12">
        <v>44547</v>
      </c>
      <c r="B1085" s="3">
        <v>96</v>
      </c>
      <c r="C1085" s="3">
        <v>96</v>
      </c>
      <c r="D1085" s="3">
        <f>C1085-B1085</f>
        <v>0</v>
      </c>
    </row>
    <row r="1086" spans="1:4">
      <c r="A1086" s="12">
        <v>44548</v>
      </c>
      <c r="B1086" s="3">
        <v>96</v>
      </c>
      <c r="C1086" s="3">
        <v>96</v>
      </c>
      <c r="D1086" s="3">
        <f>C1086-B1086</f>
        <v>0</v>
      </c>
    </row>
    <row r="1087" spans="1:4">
      <c r="A1087" s="12">
        <v>44549</v>
      </c>
      <c r="B1087" s="3">
        <v>96</v>
      </c>
      <c r="C1087" s="3">
        <v>96</v>
      </c>
      <c r="D1087" s="3">
        <f>C1087-B1087</f>
        <v>0</v>
      </c>
    </row>
    <row r="1088" spans="1:4">
      <c r="A1088" s="12">
        <v>44550</v>
      </c>
      <c r="B1088" s="3">
        <v>96</v>
      </c>
      <c r="C1088" s="3">
        <v>96</v>
      </c>
      <c r="D1088" s="3">
        <f>C1088-B1088</f>
        <v>0</v>
      </c>
    </row>
    <row r="1089" spans="1:4">
      <c r="A1089" s="12">
        <v>44551</v>
      </c>
      <c r="B1089" s="3">
        <v>96</v>
      </c>
      <c r="C1089" s="3">
        <v>96</v>
      </c>
      <c r="D1089" s="3">
        <f>C1089-B1089</f>
        <v>0</v>
      </c>
    </row>
    <row r="1090" spans="1:4">
      <c r="A1090" s="12">
        <v>44552</v>
      </c>
      <c r="B1090" s="3">
        <v>96</v>
      </c>
      <c r="C1090" s="3">
        <v>96</v>
      </c>
      <c r="D1090" s="3">
        <f>C1090-B1090</f>
        <v>0</v>
      </c>
    </row>
    <row r="1091" spans="1:4">
      <c r="A1091" s="12">
        <v>44553</v>
      </c>
      <c r="B1091" s="3">
        <v>96</v>
      </c>
      <c r="C1091" s="3">
        <v>96</v>
      </c>
      <c r="D1091" s="3">
        <f>C1091-B1091</f>
        <v>0</v>
      </c>
    </row>
    <row r="1092" spans="1:4">
      <c r="A1092" s="12">
        <v>44554</v>
      </c>
      <c r="B1092" s="3">
        <v>96</v>
      </c>
      <c r="C1092" s="3">
        <v>96</v>
      </c>
      <c r="D1092" s="3">
        <f>C1092-B1092</f>
        <v>0</v>
      </c>
    </row>
    <row r="1093" spans="1:4">
      <c r="A1093" s="12">
        <v>44555</v>
      </c>
      <c r="B1093" s="3">
        <v>96</v>
      </c>
      <c r="C1093" s="3">
        <v>96</v>
      </c>
      <c r="D1093" s="3">
        <f>C1093-B1093</f>
        <v>0</v>
      </c>
    </row>
    <row r="1094" spans="1:4">
      <c r="A1094" s="12">
        <v>44556</v>
      </c>
      <c r="B1094" s="3">
        <v>96</v>
      </c>
      <c r="C1094" s="3">
        <v>96</v>
      </c>
      <c r="D1094" s="3">
        <f>C1094-B1094</f>
        <v>0</v>
      </c>
    </row>
    <row r="1095" spans="1:4">
      <c r="A1095" s="12">
        <v>44557</v>
      </c>
      <c r="B1095" s="3">
        <v>96</v>
      </c>
      <c r="C1095" s="3">
        <v>96</v>
      </c>
      <c r="D1095" s="3">
        <f>C1095-B1095</f>
        <v>0</v>
      </c>
    </row>
    <row r="1096" spans="1:4">
      <c r="A1096" s="12">
        <v>44558</v>
      </c>
      <c r="B1096" s="3">
        <v>96</v>
      </c>
      <c r="C1096" s="3">
        <v>96</v>
      </c>
      <c r="D1096" s="3">
        <f>C1096-B1096</f>
        <v>0</v>
      </c>
    </row>
    <row r="1097" spans="1:4">
      <c r="A1097" s="12">
        <v>44559</v>
      </c>
      <c r="B1097" s="3">
        <v>96</v>
      </c>
      <c r="C1097" s="3">
        <v>96</v>
      </c>
      <c r="D1097" s="3">
        <f>C1097-B1097</f>
        <v>0</v>
      </c>
    </row>
    <row r="1098" spans="1:4">
      <c r="A1098" s="12">
        <v>44560</v>
      </c>
      <c r="B1098" s="3">
        <v>96</v>
      </c>
      <c r="C1098" s="3">
        <v>96</v>
      </c>
      <c r="D1098" s="3">
        <f>C1098-B1098</f>
        <v>0</v>
      </c>
    </row>
    <row r="1099" spans="1:4">
      <c r="A1099" s="12">
        <v>44561</v>
      </c>
      <c r="B1099" s="3">
        <v>96</v>
      </c>
      <c r="C1099" s="3">
        <v>96</v>
      </c>
      <c r="D1099" s="3">
        <f>C1099-B1099</f>
        <v>0</v>
      </c>
    </row>
    <row r="1100" spans="1:4">
      <c r="A1100" s="12">
        <v>44562</v>
      </c>
      <c r="B1100" s="3">
        <v>96</v>
      </c>
      <c r="C1100" s="3">
        <v>96</v>
      </c>
      <c r="D1100" s="3">
        <f>C1100-B1100</f>
        <v>0</v>
      </c>
    </row>
    <row r="1101" spans="1:4">
      <c r="A1101" s="12">
        <v>44563</v>
      </c>
      <c r="B1101" s="3">
        <v>96</v>
      </c>
      <c r="C1101" s="3">
        <v>96</v>
      </c>
      <c r="D1101" s="3">
        <f>C1101-B1101</f>
        <v>0</v>
      </c>
    </row>
    <row r="1102" spans="1:4">
      <c r="A1102" s="12">
        <v>44564</v>
      </c>
      <c r="B1102" s="3">
        <v>96</v>
      </c>
      <c r="C1102" s="3">
        <v>96</v>
      </c>
      <c r="D1102" s="3">
        <f>C1102-B1102</f>
        <v>0</v>
      </c>
    </row>
    <row r="1103" spans="1:4">
      <c r="A1103" s="12">
        <v>44565</v>
      </c>
      <c r="B1103" s="3">
        <v>96</v>
      </c>
      <c r="C1103" s="3">
        <v>96</v>
      </c>
      <c r="D1103" s="3">
        <f>C1103-B1103</f>
        <v>0</v>
      </c>
    </row>
    <row r="1104" spans="1:4">
      <c r="A1104" s="12">
        <v>44566</v>
      </c>
      <c r="B1104" s="3">
        <v>96</v>
      </c>
      <c r="C1104" s="3">
        <v>96</v>
      </c>
      <c r="D1104" s="3">
        <f>C1104-B1104</f>
        <v>0</v>
      </c>
    </row>
    <row r="1105" spans="1:4">
      <c r="A1105" s="12">
        <v>44567</v>
      </c>
      <c r="B1105" s="3">
        <v>96</v>
      </c>
      <c r="C1105" s="3">
        <v>96</v>
      </c>
      <c r="D1105" s="3">
        <f>C1105-B1105</f>
        <v>0</v>
      </c>
    </row>
    <row r="1106" spans="1:4">
      <c r="A1106" s="12">
        <v>44568</v>
      </c>
      <c r="B1106" s="3">
        <v>96</v>
      </c>
      <c r="C1106" s="3">
        <v>96</v>
      </c>
      <c r="D1106" s="3">
        <f>C1106-B1106</f>
        <v>0</v>
      </c>
    </row>
    <row r="1107" spans="1:4">
      <c r="A1107" s="12">
        <v>44569</v>
      </c>
      <c r="B1107" s="3">
        <v>96</v>
      </c>
      <c r="C1107" s="3">
        <v>96</v>
      </c>
      <c r="D1107" s="3">
        <f>C1107-B1107</f>
        <v>0</v>
      </c>
    </row>
    <row r="1108" spans="1:4">
      <c r="A1108" s="12">
        <v>44570</v>
      </c>
      <c r="B1108" s="3">
        <v>96</v>
      </c>
      <c r="C1108" s="3">
        <v>96</v>
      </c>
      <c r="D1108" s="3">
        <f>C1108-B1108</f>
        <v>0</v>
      </c>
    </row>
    <row r="1109" spans="1:4">
      <c r="A1109" s="12">
        <v>44571</v>
      </c>
      <c r="B1109" s="3">
        <v>96</v>
      </c>
      <c r="C1109" s="3">
        <v>96</v>
      </c>
      <c r="D1109" s="3">
        <f>C1109-B1109</f>
        <v>0</v>
      </c>
    </row>
    <row r="1110" spans="1:4">
      <c r="A1110" s="12">
        <v>44572</v>
      </c>
      <c r="B1110" s="3">
        <v>96</v>
      </c>
      <c r="C1110" s="3">
        <v>96</v>
      </c>
      <c r="D1110" s="3">
        <f>C1110-B1110</f>
        <v>0</v>
      </c>
    </row>
    <row r="1111" spans="1:4">
      <c r="A1111" s="12">
        <v>44573</v>
      </c>
      <c r="B1111" s="3">
        <v>96</v>
      </c>
      <c r="C1111" s="3">
        <v>96</v>
      </c>
      <c r="D1111" s="3">
        <f>C1111-B1111</f>
        <v>0</v>
      </c>
    </row>
    <row r="1112" spans="1:4">
      <c r="A1112" s="12">
        <v>44574</v>
      </c>
      <c r="B1112" s="3">
        <v>96</v>
      </c>
      <c r="C1112" s="3">
        <v>96</v>
      </c>
      <c r="D1112" s="3">
        <f>C1112-B1112</f>
        <v>0</v>
      </c>
    </row>
    <row r="1113" spans="1:4">
      <c r="A1113" s="12">
        <v>44575</v>
      </c>
      <c r="B1113" s="3">
        <v>96</v>
      </c>
      <c r="C1113" s="3">
        <v>96</v>
      </c>
      <c r="D1113" s="3">
        <f>C1113-B1113</f>
        <v>0</v>
      </c>
    </row>
    <row r="1114" spans="1:4">
      <c r="A1114" s="12">
        <v>44576</v>
      </c>
      <c r="B1114" s="3">
        <v>96</v>
      </c>
      <c r="C1114" s="3">
        <v>96</v>
      </c>
      <c r="D1114" s="3">
        <f>C1114-B1114</f>
        <v>0</v>
      </c>
    </row>
    <row r="1115" spans="1:4">
      <c r="A1115" s="12">
        <v>44577</v>
      </c>
      <c r="B1115" s="3">
        <v>96</v>
      </c>
      <c r="C1115" s="3">
        <v>96</v>
      </c>
      <c r="D1115" s="3">
        <f>C1115-B1115</f>
        <v>0</v>
      </c>
    </row>
    <row r="1116" spans="1:4">
      <c r="A1116" s="12">
        <v>44578</v>
      </c>
      <c r="B1116" s="3">
        <v>96</v>
      </c>
      <c r="C1116" s="3">
        <v>96</v>
      </c>
      <c r="D1116" s="3">
        <f>C1116-B1116</f>
        <v>0</v>
      </c>
    </row>
    <row r="1117" spans="1:4">
      <c r="A1117" s="12">
        <v>44579</v>
      </c>
      <c r="B1117" s="3">
        <v>96</v>
      </c>
      <c r="C1117" s="3">
        <v>96</v>
      </c>
      <c r="D1117" s="3">
        <f>C1117-B1117</f>
        <v>0</v>
      </c>
    </row>
    <row r="1118" spans="1:4">
      <c r="A1118" s="12">
        <v>44580</v>
      </c>
      <c r="B1118" s="3">
        <v>96</v>
      </c>
      <c r="C1118" s="3">
        <v>96</v>
      </c>
      <c r="D1118" s="3">
        <f>C1118-B1118</f>
        <v>0</v>
      </c>
    </row>
    <row r="1119" spans="1:4">
      <c r="A1119" s="12">
        <v>44581</v>
      </c>
      <c r="B1119" s="3">
        <v>96</v>
      </c>
      <c r="C1119" s="3">
        <v>96</v>
      </c>
      <c r="D1119" s="3">
        <f>C1119-B1119</f>
        <v>0</v>
      </c>
    </row>
    <row r="1120" spans="1:4">
      <c r="A1120" s="12">
        <v>44582</v>
      </c>
      <c r="B1120" s="3">
        <v>96</v>
      </c>
      <c r="C1120" s="3">
        <v>96</v>
      </c>
      <c r="D1120" s="3">
        <f>C1120-B1120</f>
        <v>0</v>
      </c>
    </row>
    <row r="1121" spans="1:4">
      <c r="A1121" s="12">
        <v>44583</v>
      </c>
      <c r="B1121" s="3">
        <v>96</v>
      </c>
      <c r="C1121" s="3">
        <v>96</v>
      </c>
      <c r="D1121" s="3">
        <f>C1121-B1121</f>
        <v>0</v>
      </c>
    </row>
    <row r="1122" spans="1:4">
      <c r="A1122" s="12">
        <v>44584</v>
      </c>
      <c r="B1122" s="3">
        <v>96</v>
      </c>
      <c r="C1122" s="3">
        <v>96</v>
      </c>
      <c r="D1122" s="3">
        <f>C1122-B1122</f>
        <v>0</v>
      </c>
    </row>
    <row r="1123" spans="1:4">
      <c r="A1123" s="12">
        <v>44585</v>
      </c>
      <c r="B1123" s="3">
        <v>96</v>
      </c>
      <c r="C1123" s="3">
        <v>96</v>
      </c>
      <c r="D1123" s="3">
        <f>C1123-B1123</f>
        <v>0</v>
      </c>
    </row>
    <row r="1124" spans="1:4">
      <c r="A1124" s="12">
        <v>44586</v>
      </c>
      <c r="B1124" s="3">
        <v>96</v>
      </c>
      <c r="C1124" s="3">
        <v>96</v>
      </c>
      <c r="D1124" s="3">
        <f>C1124-B1124</f>
        <v>0</v>
      </c>
    </row>
    <row r="1125" spans="1:4">
      <c r="A1125" s="12">
        <v>44587</v>
      </c>
      <c r="B1125" s="3">
        <v>96</v>
      </c>
      <c r="C1125" s="3">
        <v>96</v>
      </c>
      <c r="D1125" s="3">
        <f>C1125-B1125</f>
        <v>0</v>
      </c>
    </row>
    <row r="1126" spans="1:4">
      <c r="A1126" s="12">
        <v>44588</v>
      </c>
      <c r="B1126" s="3">
        <v>96</v>
      </c>
      <c r="C1126" s="3">
        <v>96</v>
      </c>
      <c r="D1126" s="3">
        <f>C1126-B1126</f>
        <v>0</v>
      </c>
    </row>
    <row r="1127" spans="1:4">
      <c r="A1127" s="12">
        <v>44589</v>
      </c>
      <c r="B1127" s="3">
        <v>96</v>
      </c>
      <c r="C1127" s="3">
        <v>96</v>
      </c>
      <c r="D1127" s="3">
        <f>C1127-B1127</f>
        <v>0</v>
      </c>
    </row>
    <row r="1128" spans="1:4">
      <c r="A1128" s="12">
        <v>44590</v>
      </c>
      <c r="B1128" s="3">
        <v>96</v>
      </c>
      <c r="C1128" s="3">
        <v>96</v>
      </c>
      <c r="D1128" s="3">
        <f>C1128-B1128</f>
        <v>0</v>
      </c>
    </row>
    <row r="1129" spans="1:4">
      <c r="A1129" s="12">
        <v>44591</v>
      </c>
      <c r="B1129" s="3">
        <v>96</v>
      </c>
      <c r="C1129" s="3">
        <v>96</v>
      </c>
      <c r="D1129" s="3">
        <f>C1129-B1129</f>
        <v>0</v>
      </c>
    </row>
    <row r="1130" spans="1:4">
      <c r="A1130" s="12">
        <v>44592</v>
      </c>
      <c r="B1130" s="3">
        <v>96</v>
      </c>
      <c r="C1130" s="3">
        <v>96</v>
      </c>
      <c r="D1130" s="3">
        <f>C1130-B1130</f>
        <v>0</v>
      </c>
    </row>
    <row r="1131" spans="1:4">
      <c r="A1131" s="12">
        <v>44593</v>
      </c>
      <c r="B1131" s="3">
        <v>96</v>
      </c>
      <c r="C1131" s="3">
        <v>96</v>
      </c>
      <c r="D1131" s="3">
        <f>C1131-B1131</f>
        <v>0</v>
      </c>
    </row>
    <row r="1132" spans="1:4">
      <c r="A1132" s="12">
        <v>44594</v>
      </c>
      <c r="B1132" s="3">
        <v>96</v>
      </c>
      <c r="C1132" s="3">
        <v>96</v>
      </c>
      <c r="D1132" s="3">
        <f>C1132-B1132</f>
        <v>0</v>
      </c>
    </row>
    <row r="1133" spans="1:4">
      <c r="A1133" s="12">
        <v>44595</v>
      </c>
      <c r="B1133" s="3">
        <v>96</v>
      </c>
      <c r="C1133" s="3">
        <v>96</v>
      </c>
      <c r="D1133" s="3">
        <f>C1133-B1133</f>
        <v>0</v>
      </c>
    </row>
    <row r="1134" spans="1:4">
      <c r="A1134" s="12">
        <v>44596</v>
      </c>
      <c r="B1134" s="3">
        <v>96</v>
      </c>
      <c r="C1134" s="3">
        <v>96</v>
      </c>
      <c r="D1134" s="3">
        <f>C1134-B1134</f>
        <v>0</v>
      </c>
    </row>
    <row r="1135" spans="1:4">
      <c r="A1135" s="12">
        <v>44597</v>
      </c>
      <c r="B1135" s="3">
        <v>96</v>
      </c>
      <c r="C1135" s="3">
        <v>96</v>
      </c>
      <c r="D1135" s="3">
        <f>C1135-B1135</f>
        <v>0</v>
      </c>
    </row>
    <row r="1136" spans="1:4">
      <c r="A1136" s="12">
        <v>44598</v>
      </c>
      <c r="B1136" s="3">
        <v>96</v>
      </c>
      <c r="C1136" s="3">
        <v>96</v>
      </c>
      <c r="D1136" s="3">
        <f>C1136-B1136</f>
        <v>0</v>
      </c>
    </row>
    <row r="1137" spans="1:4">
      <c r="A1137" s="12">
        <v>44599</v>
      </c>
      <c r="B1137" s="3">
        <v>96</v>
      </c>
      <c r="C1137" s="3">
        <v>96</v>
      </c>
      <c r="D1137" s="3">
        <f>C1137-B1137</f>
        <v>0</v>
      </c>
    </row>
    <row r="1138" spans="1:4">
      <c r="A1138" s="12">
        <v>44600</v>
      </c>
      <c r="B1138" s="3">
        <v>96</v>
      </c>
      <c r="C1138" s="3">
        <v>96</v>
      </c>
      <c r="D1138" s="3">
        <f>C1138-B1138</f>
        <v>0</v>
      </c>
    </row>
    <row r="1139" spans="1:4">
      <c r="A1139" s="12">
        <v>44601</v>
      </c>
      <c r="B1139" s="3">
        <v>96</v>
      </c>
      <c r="C1139" s="3">
        <v>96</v>
      </c>
      <c r="D1139" s="3">
        <f>C1139-B1139</f>
        <v>0</v>
      </c>
    </row>
    <row r="1140" spans="1:4">
      <c r="A1140" s="12">
        <v>44602</v>
      </c>
      <c r="B1140" s="3">
        <v>96</v>
      </c>
      <c r="C1140" s="3">
        <v>96</v>
      </c>
      <c r="D1140" s="3">
        <f>C1140-B1140</f>
        <v>0</v>
      </c>
    </row>
    <row r="1141" spans="1:4">
      <c r="A1141" s="12">
        <v>44603</v>
      </c>
      <c r="B1141" s="3">
        <v>96</v>
      </c>
      <c r="C1141" s="3">
        <v>96</v>
      </c>
      <c r="D1141" s="3">
        <f>C1141-B1141</f>
        <v>0</v>
      </c>
    </row>
    <row r="1142" spans="1:4">
      <c r="A1142" s="12">
        <v>44604</v>
      </c>
      <c r="B1142" s="3">
        <v>96</v>
      </c>
      <c r="C1142" s="3">
        <v>96</v>
      </c>
      <c r="D1142" s="3">
        <f>C1142-B1142</f>
        <v>0</v>
      </c>
    </row>
    <row r="1143" spans="1:4">
      <c r="A1143" s="12">
        <v>44605</v>
      </c>
      <c r="B1143" s="3">
        <v>96</v>
      </c>
      <c r="C1143" s="3">
        <v>96</v>
      </c>
      <c r="D1143" s="3">
        <f>C1143-B1143</f>
        <v>0</v>
      </c>
    </row>
    <row r="1144" spans="1:4">
      <c r="A1144" s="12">
        <v>44606</v>
      </c>
      <c r="B1144" s="3">
        <v>96</v>
      </c>
      <c r="C1144" s="3">
        <v>96</v>
      </c>
      <c r="D1144" s="3">
        <f>C1144-B1144</f>
        <v>0</v>
      </c>
    </row>
    <row r="1145" spans="1:4">
      <c r="A1145" s="12">
        <v>44607</v>
      </c>
      <c r="B1145" s="3">
        <v>96</v>
      </c>
      <c r="C1145" s="3">
        <v>96</v>
      </c>
      <c r="D1145" s="3">
        <f>C1145-B1145</f>
        <v>0</v>
      </c>
    </row>
    <row r="1146" spans="1:4">
      <c r="A1146" s="12">
        <v>44608</v>
      </c>
      <c r="B1146" s="3">
        <v>96</v>
      </c>
      <c r="C1146" s="3">
        <v>96</v>
      </c>
      <c r="D1146" s="3">
        <f>C1146-B1146</f>
        <v>0</v>
      </c>
    </row>
    <row r="1147" spans="1:4">
      <c r="A1147" s="12">
        <v>44609</v>
      </c>
      <c r="B1147" s="3">
        <v>96</v>
      </c>
      <c r="C1147" s="3">
        <v>96</v>
      </c>
      <c r="D1147" s="3">
        <f>C1147-B1147</f>
        <v>0</v>
      </c>
    </row>
    <row r="1148" spans="1:4">
      <c r="A1148" s="12">
        <v>44610</v>
      </c>
      <c r="B1148" s="3">
        <v>96</v>
      </c>
      <c r="C1148" s="3">
        <v>96</v>
      </c>
      <c r="D1148" s="3">
        <f>C1148-B1148</f>
        <v>0</v>
      </c>
    </row>
    <row r="1149" spans="1:4">
      <c r="A1149" s="12">
        <v>44611</v>
      </c>
      <c r="B1149" s="3">
        <v>96</v>
      </c>
      <c r="C1149" s="3">
        <v>96</v>
      </c>
      <c r="D1149" s="3">
        <f>C1149-B1149</f>
        <v>0</v>
      </c>
    </row>
    <row r="1150" spans="1:4">
      <c r="A1150" s="12">
        <v>44612</v>
      </c>
      <c r="B1150" s="3">
        <v>96</v>
      </c>
      <c r="C1150" s="3">
        <v>96</v>
      </c>
      <c r="D1150" s="3">
        <f>C1150-B1150</f>
        <v>0</v>
      </c>
    </row>
    <row r="1151" spans="1:4">
      <c r="A1151" s="12">
        <v>44613</v>
      </c>
      <c r="B1151" s="3">
        <v>96</v>
      </c>
      <c r="C1151" s="3">
        <v>96</v>
      </c>
      <c r="D1151" s="3">
        <f>C1151-B1151</f>
        <v>0</v>
      </c>
    </row>
    <row r="1152" spans="1:4">
      <c r="A1152" s="12">
        <v>44614</v>
      </c>
      <c r="B1152" s="3">
        <v>96</v>
      </c>
      <c r="C1152" s="3">
        <v>96</v>
      </c>
      <c r="D1152" s="3">
        <f>C1152-B1152</f>
        <v>0</v>
      </c>
    </row>
    <row r="1153" spans="1:4">
      <c r="A1153" s="12">
        <v>44615</v>
      </c>
      <c r="B1153" s="3">
        <v>96</v>
      </c>
      <c r="C1153" s="3">
        <v>96</v>
      </c>
      <c r="D1153" s="3">
        <f>C1153-B1153</f>
        <v>0</v>
      </c>
    </row>
    <row r="1154" spans="1:4">
      <c r="A1154" s="12">
        <v>44616</v>
      </c>
      <c r="B1154" s="3">
        <v>96</v>
      </c>
      <c r="C1154" s="3">
        <v>96</v>
      </c>
      <c r="D1154" s="3">
        <f>C1154-B1154</f>
        <v>0</v>
      </c>
    </row>
    <row r="1155" spans="1:4">
      <c r="A1155" s="12">
        <v>44617</v>
      </c>
      <c r="B1155" s="3">
        <v>96</v>
      </c>
      <c r="C1155" s="3">
        <v>96</v>
      </c>
      <c r="D1155" s="3">
        <f>C1155-B1155</f>
        <v>0</v>
      </c>
    </row>
    <row r="1156" spans="1:4">
      <c r="A1156" s="12">
        <v>44618</v>
      </c>
      <c r="B1156" s="3">
        <v>96</v>
      </c>
      <c r="C1156" s="3">
        <v>96</v>
      </c>
      <c r="D1156" s="3">
        <f>C1156-B1156</f>
        <v>0</v>
      </c>
    </row>
    <row r="1157" spans="1:4">
      <c r="A1157" s="12">
        <v>44619</v>
      </c>
      <c r="B1157" s="3">
        <v>96</v>
      </c>
      <c r="C1157" s="3">
        <v>96</v>
      </c>
      <c r="D1157" s="3">
        <f>C1157-B1157</f>
        <v>0</v>
      </c>
    </row>
    <row r="1158" spans="1:4">
      <c r="A1158" s="12">
        <v>44620</v>
      </c>
      <c r="B1158" s="3">
        <v>96</v>
      </c>
      <c r="C1158" s="3">
        <v>96</v>
      </c>
      <c r="D1158" s="3">
        <f>C1158-B1158</f>
        <v>0</v>
      </c>
    </row>
    <row r="1159" spans="1:4">
      <c r="A1159" s="12">
        <v>44621</v>
      </c>
      <c r="B1159" s="3">
        <v>96</v>
      </c>
      <c r="C1159" s="3">
        <v>96</v>
      </c>
      <c r="D1159" s="3">
        <f>C1159-B1159</f>
        <v>0</v>
      </c>
    </row>
    <row r="1160" spans="1:4">
      <c r="A1160" s="12">
        <v>44622</v>
      </c>
      <c r="B1160" s="3">
        <v>96</v>
      </c>
      <c r="C1160" s="3">
        <v>96</v>
      </c>
      <c r="D1160" s="3">
        <f>C1160-B1160</f>
        <v>0</v>
      </c>
    </row>
    <row r="1161" spans="1:4">
      <c r="A1161" s="12">
        <v>44623</v>
      </c>
      <c r="B1161" s="3">
        <v>96</v>
      </c>
      <c r="C1161" s="3">
        <v>96</v>
      </c>
      <c r="D1161" s="3">
        <f>C1161-B1161</f>
        <v>0</v>
      </c>
    </row>
    <row r="1162" spans="1:4">
      <c r="A1162" s="12">
        <v>44624</v>
      </c>
      <c r="B1162" s="3">
        <v>96</v>
      </c>
      <c r="C1162" s="3">
        <v>96</v>
      </c>
      <c r="D1162" s="3">
        <f>C1162-B1162</f>
        <v>0</v>
      </c>
    </row>
    <row r="1163" spans="1:4">
      <c r="A1163" s="12">
        <v>44625</v>
      </c>
      <c r="B1163" s="3">
        <v>96</v>
      </c>
      <c r="C1163" s="3">
        <v>96</v>
      </c>
      <c r="D1163" s="3">
        <f>C1163-B1163</f>
        <v>0</v>
      </c>
    </row>
    <row r="1164" spans="1:4">
      <c r="A1164" s="12">
        <v>44626</v>
      </c>
      <c r="B1164" s="3">
        <v>96</v>
      </c>
      <c r="C1164" s="3">
        <v>96</v>
      </c>
      <c r="D1164" s="3">
        <f>C1164-B1164</f>
        <v>0</v>
      </c>
    </row>
    <row r="1165" spans="1:4">
      <c r="A1165" s="12">
        <v>44627</v>
      </c>
      <c r="B1165" s="3">
        <v>96</v>
      </c>
      <c r="C1165" s="3">
        <v>96</v>
      </c>
      <c r="D1165" s="3">
        <f>C1165-B1165</f>
        <v>0</v>
      </c>
    </row>
    <row r="1166" spans="1:4">
      <c r="A1166" s="12">
        <v>44628</v>
      </c>
      <c r="B1166" s="3">
        <v>96</v>
      </c>
      <c r="C1166" s="3">
        <v>96</v>
      </c>
      <c r="D1166" s="3">
        <f>C1166-B1166</f>
        <v>0</v>
      </c>
    </row>
    <row r="1167" spans="1:4">
      <c r="A1167" s="12">
        <v>44629</v>
      </c>
      <c r="B1167" s="3">
        <v>96</v>
      </c>
      <c r="C1167" s="3">
        <v>96</v>
      </c>
      <c r="D1167" s="3">
        <f>C1167-B1167</f>
        <v>0</v>
      </c>
    </row>
    <row r="1168" spans="1:4">
      <c r="A1168" s="12">
        <v>44630</v>
      </c>
      <c r="B1168" s="3">
        <v>96</v>
      </c>
      <c r="C1168" s="3">
        <v>96</v>
      </c>
      <c r="D1168" s="3">
        <f>C1168-B1168</f>
        <v>0</v>
      </c>
    </row>
    <row r="1169" spans="1:4">
      <c r="A1169" s="12">
        <v>44631</v>
      </c>
      <c r="B1169" s="3">
        <v>96</v>
      </c>
      <c r="C1169" s="3">
        <v>96</v>
      </c>
      <c r="D1169" s="3">
        <f>C1169-B1169</f>
        <v>0</v>
      </c>
    </row>
    <row r="1170" spans="1:4">
      <c r="A1170" s="12">
        <v>44632</v>
      </c>
      <c r="B1170" s="3">
        <v>96</v>
      </c>
      <c r="C1170" s="3">
        <v>96</v>
      </c>
      <c r="D1170" s="3">
        <f>C1170-B1170</f>
        <v>0</v>
      </c>
    </row>
    <row r="1171" spans="1:4">
      <c r="A1171" s="12">
        <v>44633</v>
      </c>
      <c r="B1171" s="3">
        <v>96</v>
      </c>
      <c r="C1171" s="3">
        <v>96</v>
      </c>
      <c r="D1171" s="3">
        <f>C1171-B1171</f>
        <v>0</v>
      </c>
    </row>
    <row r="1172" spans="1:4">
      <c r="A1172" s="12">
        <v>44634</v>
      </c>
      <c r="B1172" s="3">
        <v>96</v>
      </c>
      <c r="C1172" s="3">
        <v>96</v>
      </c>
      <c r="D1172" s="3">
        <f>C1172-B1172</f>
        <v>0</v>
      </c>
    </row>
    <row r="1173" spans="1:4">
      <c r="A1173" s="12">
        <v>44635</v>
      </c>
      <c r="B1173" s="3">
        <v>96</v>
      </c>
      <c r="C1173" s="3">
        <v>96</v>
      </c>
      <c r="D1173" s="3">
        <f>C1173-B1173</f>
        <v>0</v>
      </c>
    </row>
    <row r="1174" spans="1:4">
      <c r="A1174" s="12">
        <v>44636</v>
      </c>
      <c r="B1174" s="3">
        <v>96</v>
      </c>
      <c r="C1174" s="3">
        <v>96</v>
      </c>
      <c r="D1174" s="3">
        <f>C1174-B1174</f>
        <v>0</v>
      </c>
    </row>
    <row r="1175" spans="1:4">
      <c r="A1175" s="12">
        <v>44637</v>
      </c>
      <c r="B1175" s="3">
        <v>96</v>
      </c>
      <c r="C1175" s="3">
        <v>96</v>
      </c>
      <c r="D1175" s="3">
        <f>C1175-B1175</f>
        <v>0</v>
      </c>
    </row>
    <row r="1176" spans="1:4">
      <c r="A1176" s="12">
        <v>44638</v>
      </c>
      <c r="B1176" s="3">
        <v>96</v>
      </c>
      <c r="C1176" s="3">
        <v>96</v>
      </c>
      <c r="D1176" s="3">
        <f>C1176-B1176</f>
        <v>0</v>
      </c>
    </row>
    <row r="1177" spans="1:4">
      <c r="A1177" s="12">
        <v>44639</v>
      </c>
      <c r="B1177" s="3">
        <v>96</v>
      </c>
      <c r="C1177" s="3">
        <v>96</v>
      </c>
      <c r="D1177" s="3">
        <f>C1177-B1177</f>
        <v>0</v>
      </c>
    </row>
    <row r="1178" spans="1:4">
      <c r="A1178" s="12">
        <v>44640</v>
      </c>
      <c r="B1178" s="3">
        <v>96</v>
      </c>
      <c r="C1178" s="3">
        <v>96</v>
      </c>
      <c r="D1178" s="3">
        <f>C1178-B1178</f>
        <v>0</v>
      </c>
    </row>
    <row r="1179" spans="1:4">
      <c r="A1179" s="12">
        <v>44641</v>
      </c>
      <c r="B1179" s="3">
        <v>96</v>
      </c>
      <c r="C1179" s="3">
        <v>96</v>
      </c>
      <c r="D1179" s="3">
        <f>C1179-B1179</f>
        <v>0</v>
      </c>
    </row>
    <row r="1180" spans="1:4">
      <c r="A1180" s="12">
        <v>44642</v>
      </c>
      <c r="B1180" s="3">
        <v>96</v>
      </c>
      <c r="C1180" s="3">
        <v>96</v>
      </c>
      <c r="D1180" s="3">
        <f>C1180-B1180</f>
        <v>0</v>
      </c>
    </row>
    <row r="1181" spans="1:4">
      <c r="A1181" s="12">
        <v>44643</v>
      </c>
      <c r="B1181" s="3">
        <v>96</v>
      </c>
      <c r="C1181" s="3">
        <v>96</v>
      </c>
      <c r="D1181" s="3">
        <f>C1181-B1181</f>
        <v>0</v>
      </c>
    </row>
    <row r="1182" spans="1:4">
      <c r="A1182" s="12">
        <v>44644</v>
      </c>
      <c r="B1182" s="3">
        <v>96</v>
      </c>
      <c r="C1182" s="3">
        <v>96</v>
      </c>
      <c r="D1182" s="3">
        <f>C1182-B1182</f>
        <v>0</v>
      </c>
    </row>
    <row r="1183" spans="1:4">
      <c r="A1183" s="12">
        <v>44645</v>
      </c>
      <c r="B1183" s="3">
        <v>96</v>
      </c>
      <c r="C1183" s="3">
        <v>96</v>
      </c>
      <c r="D1183" s="3">
        <f>C1183-B1183</f>
        <v>0</v>
      </c>
    </row>
    <row r="1184" spans="1:4">
      <c r="A1184" s="12">
        <v>44646</v>
      </c>
      <c r="B1184" s="3">
        <v>96</v>
      </c>
      <c r="C1184" s="3">
        <v>96</v>
      </c>
      <c r="D1184" s="3">
        <f>C1184-B1184</f>
        <v>0</v>
      </c>
    </row>
    <row r="1185" spans="1:4">
      <c r="A1185" s="12">
        <v>44647</v>
      </c>
      <c r="B1185" s="3">
        <v>92</v>
      </c>
      <c r="C1185" s="3">
        <v>92</v>
      </c>
      <c r="D1185" s="3">
        <f>C1185-B1185</f>
        <v>0</v>
      </c>
    </row>
    <row r="1186" spans="1:4">
      <c r="A1186" s="12">
        <v>44648</v>
      </c>
      <c r="B1186" s="3">
        <v>96</v>
      </c>
      <c r="C1186" s="3">
        <v>96</v>
      </c>
      <c r="D1186" s="3">
        <f>C1186-B1186</f>
        <v>0</v>
      </c>
    </row>
    <row r="1187" spans="1:4">
      <c r="A1187" s="12">
        <v>44649</v>
      </c>
      <c r="B1187" s="3">
        <v>96</v>
      </c>
      <c r="C1187" s="3">
        <v>96</v>
      </c>
      <c r="D1187" s="3">
        <f>C1187-B1187</f>
        <v>0</v>
      </c>
    </row>
    <row r="1188" spans="1:4">
      <c r="A1188" s="12">
        <v>44650</v>
      </c>
      <c r="B1188" s="3">
        <v>96</v>
      </c>
      <c r="C1188" s="3">
        <v>96</v>
      </c>
      <c r="D1188" s="3">
        <f>C1188-B1188</f>
        <v>0</v>
      </c>
    </row>
    <row r="1189" spans="1:4">
      <c r="A1189" s="12">
        <v>44651</v>
      </c>
      <c r="B1189" s="3">
        <v>96</v>
      </c>
      <c r="C1189" s="3">
        <v>96</v>
      </c>
      <c r="D1189" s="3">
        <f>C1189-B1189</f>
        <v>0</v>
      </c>
    </row>
    <row r="1190" spans="1:4">
      <c r="A1190" s="12">
        <v>44652</v>
      </c>
      <c r="B1190" s="3">
        <v>96</v>
      </c>
      <c r="C1190" s="3">
        <v>96</v>
      </c>
      <c r="D1190" s="3">
        <f>C1190-B1190</f>
        <v>0</v>
      </c>
    </row>
    <row r="1191" spans="1:4">
      <c r="A1191" s="12">
        <v>44653</v>
      </c>
      <c r="B1191" s="3">
        <v>96</v>
      </c>
      <c r="C1191" s="3">
        <v>96</v>
      </c>
      <c r="D1191" s="3">
        <f>C1191-B1191</f>
        <v>0</v>
      </c>
    </row>
    <row r="1192" spans="1:4">
      <c r="A1192" s="12">
        <v>44654</v>
      </c>
      <c r="B1192" s="3">
        <v>96</v>
      </c>
      <c r="C1192" s="3">
        <v>96</v>
      </c>
      <c r="D1192" s="3">
        <f>C1192-B1192</f>
        <v>0</v>
      </c>
    </row>
    <row r="1193" spans="1:4">
      <c r="A1193" s="12">
        <v>44655</v>
      </c>
      <c r="B1193" s="3">
        <v>96</v>
      </c>
      <c r="C1193" s="3">
        <v>96</v>
      </c>
      <c r="D1193" s="3">
        <f>C1193-B1193</f>
        <v>0</v>
      </c>
    </row>
    <row r="1194" spans="1:4">
      <c r="A1194" s="12">
        <v>44656</v>
      </c>
      <c r="B1194" s="3">
        <v>96</v>
      </c>
      <c r="C1194" s="3">
        <v>96</v>
      </c>
      <c r="D1194" s="3">
        <f>C1194-B1194</f>
        <v>0</v>
      </c>
    </row>
    <row r="1195" spans="1:4">
      <c r="A1195" s="12">
        <v>44657</v>
      </c>
      <c r="B1195" s="3">
        <v>96</v>
      </c>
      <c r="C1195" s="3">
        <v>96</v>
      </c>
      <c r="D1195" s="3">
        <f>C1195-B1195</f>
        <v>0</v>
      </c>
    </row>
    <row r="1196" spans="1:4">
      <c r="A1196" s="12">
        <v>44658</v>
      </c>
      <c r="B1196" s="3">
        <v>96</v>
      </c>
      <c r="C1196" s="3">
        <v>96</v>
      </c>
      <c r="D1196" s="3">
        <f>C1196-B1196</f>
        <v>0</v>
      </c>
    </row>
    <row r="1197" spans="1:4">
      <c r="A1197" s="12">
        <v>44659</v>
      </c>
      <c r="B1197" s="3">
        <v>96</v>
      </c>
      <c r="C1197" s="3">
        <v>96</v>
      </c>
      <c r="D1197" s="3">
        <f>C1197-B1197</f>
        <v>0</v>
      </c>
    </row>
    <row r="1198" spans="1:4">
      <c r="A1198" s="12">
        <v>44660</v>
      </c>
      <c r="B1198" s="3">
        <v>96</v>
      </c>
      <c r="C1198" s="3">
        <v>96</v>
      </c>
      <c r="D1198" s="3">
        <f>C1198-B1198</f>
        <v>0</v>
      </c>
    </row>
    <row r="1199" spans="1:4">
      <c r="A1199" s="12">
        <v>44661</v>
      </c>
      <c r="B1199" s="3">
        <v>96</v>
      </c>
      <c r="C1199" s="3">
        <v>96</v>
      </c>
      <c r="D1199" s="3">
        <f>C1199-B1199</f>
        <v>0</v>
      </c>
    </row>
    <row r="1200" spans="1:4">
      <c r="A1200" s="12">
        <v>44662</v>
      </c>
      <c r="B1200" s="3">
        <v>96</v>
      </c>
      <c r="C1200" s="3">
        <v>96</v>
      </c>
      <c r="D1200" s="3">
        <f>C1200-B1200</f>
        <v>0</v>
      </c>
    </row>
    <row r="1201" spans="1:4">
      <c r="A1201" s="12">
        <v>44663</v>
      </c>
      <c r="B1201" s="3">
        <v>96</v>
      </c>
      <c r="C1201" s="3">
        <v>96</v>
      </c>
      <c r="D1201" s="3">
        <f>C1201-B1201</f>
        <v>0</v>
      </c>
    </row>
    <row r="1202" spans="1:4">
      <c r="A1202" s="12">
        <v>44664</v>
      </c>
      <c r="B1202" s="3">
        <v>96</v>
      </c>
      <c r="C1202" s="3">
        <v>96</v>
      </c>
      <c r="D1202" s="3">
        <f>C1202-B1202</f>
        <v>0</v>
      </c>
    </row>
    <row r="1203" spans="1:4">
      <c r="A1203" s="12">
        <v>44665</v>
      </c>
      <c r="B1203" s="3">
        <v>96</v>
      </c>
      <c r="C1203" s="3">
        <v>96</v>
      </c>
      <c r="D1203" s="3">
        <f>C1203-B1203</f>
        <v>0</v>
      </c>
    </row>
    <row r="1204" spans="1:4">
      <c r="A1204" s="12">
        <v>44666</v>
      </c>
      <c r="B1204" s="3">
        <v>96</v>
      </c>
      <c r="C1204" s="3">
        <v>96</v>
      </c>
      <c r="D1204" s="3">
        <f>C1204-B1204</f>
        <v>0</v>
      </c>
    </row>
    <row r="1205" spans="1:4">
      <c r="A1205" s="12">
        <v>44667</v>
      </c>
      <c r="B1205" s="3">
        <v>96</v>
      </c>
      <c r="C1205" s="3">
        <v>96</v>
      </c>
      <c r="D1205" s="3">
        <f>C1205-B1205</f>
        <v>0</v>
      </c>
    </row>
    <row r="1206" spans="1:4">
      <c r="A1206" s="12">
        <v>44668</v>
      </c>
      <c r="B1206" s="3">
        <v>96</v>
      </c>
      <c r="C1206" s="3">
        <v>96</v>
      </c>
      <c r="D1206" s="3">
        <f>C1206-B1206</f>
        <v>0</v>
      </c>
    </row>
    <row r="1207" spans="1:4">
      <c r="A1207" s="12">
        <v>44669</v>
      </c>
      <c r="B1207" s="3">
        <v>96</v>
      </c>
      <c r="C1207" s="3">
        <v>96</v>
      </c>
      <c r="D1207" s="3">
        <f>C1207-B1207</f>
        <v>0</v>
      </c>
    </row>
    <row r="1208" spans="1:4">
      <c r="A1208" s="12">
        <v>44670</v>
      </c>
      <c r="B1208" s="3">
        <v>96</v>
      </c>
      <c r="C1208" s="3">
        <v>96</v>
      </c>
      <c r="D1208" s="3">
        <f>C1208-B1208</f>
        <v>0</v>
      </c>
    </row>
    <row r="1209" spans="1:4">
      <c r="A1209" s="12">
        <v>44671</v>
      </c>
      <c r="B1209" s="3">
        <v>96</v>
      </c>
      <c r="C1209" s="3">
        <v>96</v>
      </c>
      <c r="D1209" s="3">
        <f>C1209-B1209</f>
        <v>0</v>
      </c>
    </row>
    <row r="1210" spans="1:4">
      <c r="A1210" s="12">
        <v>44672</v>
      </c>
      <c r="B1210" s="3">
        <v>96</v>
      </c>
      <c r="C1210" s="3">
        <v>96</v>
      </c>
      <c r="D1210" s="3">
        <f>C1210-B1210</f>
        <v>0</v>
      </c>
    </row>
    <row r="1211" spans="1:4">
      <c r="A1211" s="12">
        <v>44673</v>
      </c>
      <c r="B1211" s="3">
        <v>96</v>
      </c>
      <c r="C1211" s="3">
        <v>96</v>
      </c>
      <c r="D1211" s="3">
        <f>C1211-B1211</f>
        <v>0</v>
      </c>
    </row>
    <row r="1212" spans="1:4">
      <c r="A1212" s="12">
        <v>44674</v>
      </c>
      <c r="B1212" s="3">
        <v>96</v>
      </c>
      <c r="C1212" s="3">
        <v>96</v>
      </c>
      <c r="D1212" s="3">
        <f>C1212-B1212</f>
        <v>0</v>
      </c>
    </row>
    <row r="1213" spans="1:4">
      <c r="A1213" s="12">
        <v>44675</v>
      </c>
      <c r="B1213" s="3">
        <v>96</v>
      </c>
      <c r="C1213" s="3">
        <v>96</v>
      </c>
      <c r="D1213" s="3">
        <f>C1213-B1213</f>
        <v>0</v>
      </c>
    </row>
    <row r="1214" spans="1:4">
      <c r="A1214" s="12">
        <v>44676</v>
      </c>
      <c r="B1214" s="3">
        <v>96</v>
      </c>
      <c r="C1214" s="3">
        <v>96</v>
      </c>
      <c r="D1214" s="3">
        <f>C1214-B1214</f>
        <v>0</v>
      </c>
    </row>
    <row r="1215" spans="1:4">
      <c r="A1215" s="12">
        <v>44677</v>
      </c>
      <c r="B1215" s="3">
        <v>96</v>
      </c>
      <c r="C1215" s="3">
        <v>96</v>
      </c>
      <c r="D1215" s="3">
        <f>C1215-B1215</f>
        <v>0</v>
      </c>
    </row>
    <row r="1216" spans="1:4">
      <c r="A1216" s="12">
        <v>44678</v>
      </c>
      <c r="B1216" s="3">
        <v>96</v>
      </c>
      <c r="C1216" s="3">
        <v>96</v>
      </c>
      <c r="D1216" s="3">
        <f>C1216-B1216</f>
        <v>0</v>
      </c>
    </row>
    <row r="1217" spans="1:4">
      <c r="A1217" s="12">
        <v>44679</v>
      </c>
      <c r="B1217" s="3">
        <v>96</v>
      </c>
      <c r="C1217" s="3">
        <v>96</v>
      </c>
      <c r="D1217" s="3">
        <f>C1217-B1217</f>
        <v>0</v>
      </c>
    </row>
    <row r="1218" spans="1:4">
      <c r="A1218" s="12">
        <v>44680</v>
      </c>
      <c r="B1218" s="3">
        <v>96</v>
      </c>
      <c r="C1218" s="3">
        <v>96</v>
      </c>
      <c r="D1218" s="3">
        <f>C1218-B1218</f>
        <v>0</v>
      </c>
    </row>
    <row r="1219" spans="1:4">
      <c r="A1219" s="12">
        <v>44681</v>
      </c>
      <c r="B1219" s="3">
        <v>96</v>
      </c>
      <c r="C1219" s="3">
        <v>96</v>
      </c>
      <c r="D1219" s="3">
        <f>C1219-B1219</f>
        <v>0</v>
      </c>
    </row>
    <row r="1220" spans="1:4">
      <c r="A1220" s="12">
        <v>44682</v>
      </c>
      <c r="B1220" s="3">
        <v>96</v>
      </c>
      <c r="C1220" s="3">
        <v>96</v>
      </c>
      <c r="D1220" s="3">
        <f>C1220-B1220</f>
        <v>0</v>
      </c>
    </row>
    <row r="1221" spans="1:4">
      <c r="A1221" s="12">
        <v>44683</v>
      </c>
      <c r="B1221" s="3">
        <v>96</v>
      </c>
      <c r="C1221" s="3">
        <v>96</v>
      </c>
      <c r="D1221" s="3">
        <f>C1221-B1221</f>
        <v>0</v>
      </c>
    </row>
    <row r="1222" spans="1:4">
      <c r="A1222" s="12">
        <v>44684</v>
      </c>
      <c r="B1222" s="3">
        <v>96</v>
      </c>
      <c r="C1222" s="3">
        <v>96</v>
      </c>
      <c r="D1222" s="3">
        <f>C1222-B1222</f>
        <v>0</v>
      </c>
    </row>
    <row r="1223" spans="1:4">
      <c r="A1223" s="12">
        <v>44685</v>
      </c>
      <c r="B1223" s="3">
        <v>96</v>
      </c>
      <c r="C1223" s="3">
        <v>96</v>
      </c>
      <c r="D1223" s="3">
        <f>C1223-B1223</f>
        <v>0</v>
      </c>
    </row>
    <row r="1224" spans="1:4">
      <c r="A1224" s="12">
        <v>44686</v>
      </c>
      <c r="B1224" s="3">
        <v>96</v>
      </c>
      <c r="C1224" s="3">
        <v>96</v>
      </c>
      <c r="D1224" s="3">
        <f>C1224-B1224</f>
        <v>0</v>
      </c>
    </row>
    <row r="1225" spans="1:4">
      <c r="A1225" s="12">
        <v>44687</v>
      </c>
      <c r="B1225" s="3">
        <v>96</v>
      </c>
      <c r="C1225" s="3">
        <v>96</v>
      </c>
      <c r="D1225" s="3">
        <f>C1225-B1225</f>
        <v>0</v>
      </c>
    </row>
    <row r="1226" spans="1:4">
      <c r="A1226" s="12">
        <v>44688</v>
      </c>
      <c r="B1226" s="3">
        <v>96</v>
      </c>
      <c r="C1226" s="3">
        <v>96</v>
      </c>
      <c r="D1226" s="3">
        <f>C1226-B1226</f>
        <v>0</v>
      </c>
    </row>
    <row r="1227" spans="1:4">
      <c r="A1227" s="12">
        <v>44689</v>
      </c>
      <c r="B1227" s="3">
        <v>96</v>
      </c>
      <c r="C1227" s="3">
        <v>96</v>
      </c>
      <c r="D1227" s="3">
        <f>C1227-B1227</f>
        <v>0</v>
      </c>
    </row>
    <row r="1228" spans="1:4">
      <c r="A1228" s="12">
        <v>44690</v>
      </c>
      <c r="B1228" s="3">
        <v>96</v>
      </c>
      <c r="C1228" s="3">
        <v>96</v>
      </c>
      <c r="D1228" s="3">
        <f>C1228-B1228</f>
        <v>0</v>
      </c>
    </row>
    <row r="1229" spans="1:4">
      <c r="A1229" s="12">
        <v>44691</v>
      </c>
      <c r="B1229" s="3">
        <v>96</v>
      </c>
      <c r="C1229" s="3">
        <v>96</v>
      </c>
      <c r="D1229" s="3">
        <f>C1229-B1229</f>
        <v>0</v>
      </c>
    </row>
    <row r="1230" spans="1:4">
      <c r="A1230" s="12">
        <v>44692</v>
      </c>
      <c r="B1230" s="3">
        <v>96</v>
      </c>
      <c r="C1230" s="3">
        <v>96</v>
      </c>
      <c r="D1230" s="3">
        <f>C1230-B1230</f>
        <v>0</v>
      </c>
    </row>
    <row r="1231" spans="1:4">
      <c r="A1231" s="12">
        <v>44693</v>
      </c>
      <c r="B1231" s="3">
        <v>96</v>
      </c>
      <c r="C1231" s="3">
        <v>96</v>
      </c>
      <c r="D1231" s="3">
        <f>C1231-B1231</f>
        <v>0</v>
      </c>
    </row>
    <row r="1232" spans="1:4">
      <c r="A1232" s="12">
        <v>44694</v>
      </c>
      <c r="B1232" s="3">
        <v>96</v>
      </c>
      <c r="C1232" s="3">
        <v>96</v>
      </c>
      <c r="D1232" s="3">
        <f>C1232-B1232</f>
        <v>0</v>
      </c>
    </row>
    <row r="1233" spans="1:4">
      <c r="A1233" s="12">
        <v>44695</v>
      </c>
      <c r="B1233" s="3">
        <v>96</v>
      </c>
      <c r="C1233" s="3">
        <v>96</v>
      </c>
      <c r="D1233" s="3">
        <f>C1233-B1233</f>
        <v>0</v>
      </c>
    </row>
    <row r="1234" spans="1:4">
      <c r="A1234" s="12">
        <v>44696</v>
      </c>
      <c r="B1234" s="3">
        <v>96</v>
      </c>
      <c r="C1234" s="3">
        <v>96</v>
      </c>
      <c r="D1234" s="3">
        <f>C1234-B1234</f>
        <v>0</v>
      </c>
    </row>
    <row r="1235" spans="1:4">
      <c r="A1235" s="12">
        <v>44697</v>
      </c>
      <c r="B1235" s="3">
        <v>96</v>
      </c>
      <c r="C1235" s="3">
        <v>96</v>
      </c>
      <c r="D1235" s="3">
        <f>C1235-B1235</f>
        <v>0</v>
      </c>
    </row>
    <row r="1236" spans="1:4">
      <c r="A1236" s="12">
        <v>44698</v>
      </c>
      <c r="B1236" s="3">
        <v>96</v>
      </c>
      <c r="C1236" s="3">
        <v>96</v>
      </c>
      <c r="D1236" s="3">
        <f>C1236-B1236</f>
        <v>0</v>
      </c>
    </row>
    <row r="1237" spans="1:4">
      <c r="A1237" s="12">
        <v>44699</v>
      </c>
      <c r="B1237" s="3">
        <v>96</v>
      </c>
      <c r="C1237" s="3">
        <v>96</v>
      </c>
      <c r="D1237" s="3">
        <f>C1237-B1237</f>
        <v>0</v>
      </c>
    </row>
    <row r="1238" spans="1:4">
      <c r="A1238" s="12">
        <v>44700</v>
      </c>
      <c r="B1238" s="3">
        <v>96</v>
      </c>
      <c r="C1238" s="3">
        <v>96</v>
      </c>
      <c r="D1238" s="3">
        <f>C1238-B1238</f>
        <v>0</v>
      </c>
    </row>
    <row r="1239" spans="1:4">
      <c r="A1239" s="12">
        <v>44701</v>
      </c>
      <c r="B1239" s="3">
        <v>96</v>
      </c>
      <c r="C1239" s="3">
        <v>96</v>
      </c>
      <c r="D1239" s="3">
        <f>C1239-B1239</f>
        <v>0</v>
      </c>
    </row>
    <row r="1240" spans="1:4">
      <c r="A1240" s="12">
        <v>44702</v>
      </c>
      <c r="B1240" s="3">
        <v>96</v>
      </c>
      <c r="C1240" s="3">
        <v>96</v>
      </c>
      <c r="D1240" s="3">
        <f>C1240-B1240</f>
        <v>0</v>
      </c>
    </row>
    <row r="1241" spans="1:4">
      <c r="A1241" s="12">
        <v>44703</v>
      </c>
      <c r="B1241" s="3">
        <v>96</v>
      </c>
      <c r="C1241" s="3">
        <v>96</v>
      </c>
      <c r="D1241" s="3">
        <f>C1241-B1241</f>
        <v>0</v>
      </c>
    </row>
    <row r="1242" spans="1:4">
      <c r="A1242" s="12">
        <v>44704</v>
      </c>
      <c r="B1242" s="3">
        <v>96</v>
      </c>
      <c r="C1242" s="3">
        <v>96</v>
      </c>
      <c r="D1242" s="3">
        <f>C1242-B1242</f>
        <v>0</v>
      </c>
    </row>
    <row r="1243" spans="1:4">
      <c r="A1243" s="12">
        <v>44705</v>
      </c>
      <c r="B1243" s="3">
        <v>96</v>
      </c>
      <c r="C1243" s="3">
        <v>96</v>
      </c>
      <c r="D1243" s="3">
        <f>C1243-B1243</f>
        <v>0</v>
      </c>
    </row>
    <row r="1244" spans="1:4">
      <c r="A1244" s="12">
        <v>44706</v>
      </c>
      <c r="B1244" s="3">
        <v>96</v>
      </c>
      <c r="C1244" s="3">
        <v>96</v>
      </c>
      <c r="D1244" s="3">
        <f>C1244-B1244</f>
        <v>0</v>
      </c>
    </row>
    <row r="1245" spans="1:4">
      <c r="A1245" s="12">
        <v>44707</v>
      </c>
      <c r="B1245" s="3">
        <v>96</v>
      </c>
      <c r="C1245" s="3">
        <v>96</v>
      </c>
      <c r="D1245" s="3">
        <f>C1245-B1245</f>
        <v>0</v>
      </c>
    </row>
    <row r="1246" spans="1:4">
      <c r="A1246" s="12">
        <v>44708</v>
      </c>
      <c r="B1246" s="3">
        <v>96</v>
      </c>
      <c r="C1246" s="3">
        <v>96</v>
      </c>
      <c r="D1246" s="3">
        <f>C1246-B1246</f>
        <v>0</v>
      </c>
    </row>
    <row r="1247" spans="1:4">
      <c r="A1247" s="12">
        <v>44709</v>
      </c>
      <c r="B1247" s="3">
        <v>96</v>
      </c>
      <c r="C1247" s="3">
        <v>96</v>
      </c>
      <c r="D1247" s="3">
        <f>C1247-B1247</f>
        <v>0</v>
      </c>
    </row>
    <row r="1248" spans="1:4">
      <c r="A1248" s="12">
        <v>44710</v>
      </c>
      <c r="B1248" s="3">
        <v>96</v>
      </c>
      <c r="C1248" s="3">
        <v>96</v>
      </c>
      <c r="D1248" s="3">
        <f>C1248-B1248</f>
        <v>0</v>
      </c>
    </row>
    <row r="1249" spans="1:4">
      <c r="A1249" s="12">
        <v>44711</v>
      </c>
      <c r="B1249" s="3">
        <v>96</v>
      </c>
      <c r="C1249" s="3">
        <v>96</v>
      </c>
      <c r="D1249" s="3">
        <f>C1249-B1249</f>
        <v>0</v>
      </c>
    </row>
    <row r="1250" spans="1:4">
      <c r="A1250" s="12">
        <v>44712</v>
      </c>
      <c r="B1250" s="3">
        <v>96</v>
      </c>
      <c r="C1250" s="3">
        <v>96</v>
      </c>
      <c r="D1250" s="3">
        <f>C1250-B1250</f>
        <v>0</v>
      </c>
    </row>
    <row r="1251" spans="1:4">
      <c r="A1251" s="12">
        <v>44713</v>
      </c>
      <c r="B1251" s="3">
        <v>96</v>
      </c>
      <c r="C1251" s="3">
        <v>96</v>
      </c>
      <c r="D1251" s="3">
        <f>C1251-B1251</f>
        <v>0</v>
      </c>
    </row>
    <row r="1252" spans="1:4">
      <c r="A1252" s="12">
        <v>44714</v>
      </c>
      <c r="B1252" s="3">
        <v>96</v>
      </c>
      <c r="C1252" s="3">
        <v>96</v>
      </c>
      <c r="D1252" s="3">
        <f>C1252-B1252</f>
        <v>0</v>
      </c>
    </row>
    <row r="1253" spans="1:4">
      <c r="A1253" s="12">
        <v>44715</v>
      </c>
      <c r="B1253" s="3">
        <v>96</v>
      </c>
      <c r="C1253" s="3">
        <v>96</v>
      </c>
      <c r="D1253" s="3">
        <f>C1253-B1253</f>
        <v>0</v>
      </c>
    </row>
    <row r="1254" spans="1:4">
      <c r="A1254" s="12">
        <v>44716</v>
      </c>
      <c r="B1254" s="3">
        <v>96</v>
      </c>
      <c r="C1254" s="3">
        <v>96</v>
      </c>
      <c r="D1254" s="3">
        <f>C1254-B1254</f>
        <v>0</v>
      </c>
    </row>
    <row r="1255" spans="1:4">
      <c r="A1255" s="12">
        <v>44717</v>
      </c>
      <c r="B1255" s="3">
        <v>96</v>
      </c>
      <c r="C1255" s="3">
        <v>96</v>
      </c>
      <c r="D1255" s="3">
        <f>C1255-B1255</f>
        <v>0</v>
      </c>
    </row>
    <row r="1256" spans="1:4">
      <c r="A1256" s="12">
        <v>44718</v>
      </c>
      <c r="B1256" s="3">
        <v>96</v>
      </c>
      <c r="C1256" s="3">
        <v>96</v>
      </c>
      <c r="D1256" s="3">
        <f>C1256-B1256</f>
        <v>0</v>
      </c>
    </row>
    <row r="1257" spans="1:4">
      <c r="A1257" s="12">
        <v>44719</v>
      </c>
      <c r="B1257" s="3">
        <v>96</v>
      </c>
      <c r="C1257" s="3">
        <v>96</v>
      </c>
      <c r="D1257" s="3">
        <f>C1257-B1257</f>
        <v>0</v>
      </c>
    </row>
    <row r="1258" spans="1:4">
      <c r="A1258" s="12">
        <v>44720</v>
      </c>
      <c r="B1258" s="3">
        <v>96</v>
      </c>
      <c r="C1258" s="3">
        <v>96</v>
      </c>
      <c r="D1258" s="3">
        <f>C1258-B1258</f>
        <v>0</v>
      </c>
    </row>
    <row r="1259" spans="1:4">
      <c r="A1259" s="12">
        <v>44721</v>
      </c>
      <c r="B1259" s="3">
        <v>96</v>
      </c>
      <c r="C1259" s="3">
        <v>96</v>
      </c>
      <c r="D1259" s="3">
        <f>C1259-B1259</f>
        <v>0</v>
      </c>
    </row>
    <row r="1260" spans="1:4">
      <c r="A1260" s="12">
        <v>44722</v>
      </c>
      <c r="B1260" s="3">
        <v>96</v>
      </c>
      <c r="C1260" s="3">
        <v>96</v>
      </c>
      <c r="D1260" s="3">
        <f>C1260-B1260</f>
        <v>0</v>
      </c>
    </row>
    <row r="1261" spans="1:4">
      <c r="A1261" s="12">
        <v>44723</v>
      </c>
      <c r="B1261" s="3">
        <v>96</v>
      </c>
      <c r="C1261" s="3">
        <v>96</v>
      </c>
      <c r="D1261" s="3">
        <f>C1261-B1261</f>
        <v>0</v>
      </c>
    </row>
    <row r="1262" spans="1:4">
      <c r="A1262" s="12">
        <v>44724</v>
      </c>
      <c r="B1262" s="3">
        <v>96</v>
      </c>
      <c r="C1262" s="3">
        <v>96</v>
      </c>
      <c r="D1262" s="3">
        <f>C1262-B1262</f>
        <v>0</v>
      </c>
    </row>
    <row r="1263" spans="1:4">
      <c r="A1263" s="12">
        <v>44725</v>
      </c>
      <c r="B1263" s="3">
        <v>96</v>
      </c>
      <c r="C1263" s="3">
        <v>96</v>
      </c>
      <c r="D1263" s="3">
        <f>C1263-B1263</f>
        <v>0</v>
      </c>
    </row>
    <row r="1264" spans="1:4">
      <c r="A1264" s="12">
        <v>44726</v>
      </c>
      <c r="B1264" s="3">
        <v>96</v>
      </c>
      <c r="C1264" s="3">
        <v>96</v>
      </c>
      <c r="D1264" s="3">
        <f>C1264-B1264</f>
        <v>0</v>
      </c>
    </row>
    <row r="1265" spans="1:4">
      <c r="A1265" s="12">
        <v>44727</v>
      </c>
      <c r="B1265" s="3">
        <v>96</v>
      </c>
      <c r="C1265" s="3">
        <v>96</v>
      </c>
      <c r="D1265" s="3">
        <f>C1265-B1265</f>
        <v>0</v>
      </c>
    </row>
    <row r="1266" spans="1:4">
      <c r="A1266" s="12">
        <v>44728</v>
      </c>
      <c r="B1266" s="3">
        <v>96</v>
      </c>
      <c r="C1266" s="3">
        <v>96</v>
      </c>
      <c r="D1266" s="3">
        <f>C1266-B1266</f>
        <v>0</v>
      </c>
    </row>
    <row r="1267" spans="1:4">
      <c r="A1267" s="12">
        <v>44729</v>
      </c>
      <c r="B1267" s="3">
        <v>96</v>
      </c>
      <c r="C1267" s="3">
        <v>96</v>
      </c>
      <c r="D1267" s="3">
        <f>C1267-B1267</f>
        <v>0</v>
      </c>
    </row>
    <row r="1268" spans="1:4">
      <c r="A1268" s="12">
        <v>44730</v>
      </c>
      <c r="B1268" s="3">
        <v>96</v>
      </c>
      <c r="C1268" s="3">
        <v>96</v>
      </c>
      <c r="D1268" s="3">
        <f>C1268-B1268</f>
        <v>0</v>
      </c>
    </row>
    <row r="1269" spans="1:4">
      <c r="A1269" s="12">
        <v>44731</v>
      </c>
      <c r="B1269" s="3">
        <v>96</v>
      </c>
      <c r="C1269" s="3">
        <v>96</v>
      </c>
      <c r="D1269" s="3">
        <f>C1269-B1269</f>
        <v>0</v>
      </c>
    </row>
    <row r="1270" spans="1:4">
      <c r="A1270" s="12">
        <v>44732</v>
      </c>
      <c r="B1270" s="3">
        <v>96</v>
      </c>
      <c r="C1270" s="3">
        <v>96</v>
      </c>
      <c r="D1270" s="3">
        <f>C1270-B1270</f>
        <v>0</v>
      </c>
    </row>
    <row r="1271" spans="1:4">
      <c r="A1271" s="12">
        <v>44733</v>
      </c>
      <c r="B1271" s="3">
        <v>96</v>
      </c>
      <c r="C1271" s="3">
        <v>96</v>
      </c>
      <c r="D1271" s="3">
        <f>C1271-B1271</f>
        <v>0</v>
      </c>
    </row>
    <row r="1272" spans="1:4">
      <c r="A1272" s="12">
        <v>44734</v>
      </c>
      <c r="B1272" s="3">
        <v>96</v>
      </c>
      <c r="C1272" s="3">
        <v>96</v>
      </c>
      <c r="D1272" s="3">
        <f>C1272-B1272</f>
        <v>0</v>
      </c>
    </row>
    <row r="1273" spans="1:4">
      <c r="A1273" s="12">
        <v>44735</v>
      </c>
      <c r="B1273" s="3">
        <v>96</v>
      </c>
      <c r="C1273" s="3">
        <v>96</v>
      </c>
      <c r="D1273" s="3">
        <f>C1273-B1273</f>
        <v>0</v>
      </c>
    </row>
    <row r="1274" spans="1:4">
      <c r="A1274" s="12">
        <v>44736</v>
      </c>
      <c r="B1274" s="3">
        <v>96</v>
      </c>
      <c r="C1274" s="3">
        <v>96</v>
      </c>
      <c r="D1274" s="3">
        <f>C1274-B1274</f>
        <v>0</v>
      </c>
    </row>
    <row r="1275" spans="1:4">
      <c r="A1275" s="12">
        <v>44737</v>
      </c>
      <c r="B1275" s="3">
        <v>96</v>
      </c>
      <c r="C1275" s="3">
        <v>96</v>
      </c>
      <c r="D1275" s="3">
        <f>C1275-B1275</f>
        <v>0</v>
      </c>
    </row>
    <row r="1276" spans="1:4">
      <c r="A1276" s="12">
        <v>44738</v>
      </c>
      <c r="B1276" s="3">
        <v>96</v>
      </c>
      <c r="C1276" s="3">
        <v>96</v>
      </c>
      <c r="D1276" s="3">
        <f>C1276-B1276</f>
        <v>0</v>
      </c>
    </row>
    <row r="1277" spans="1:4">
      <c r="A1277" s="12">
        <v>44739</v>
      </c>
      <c r="B1277" s="3">
        <v>96</v>
      </c>
      <c r="C1277" s="3">
        <v>96</v>
      </c>
      <c r="D1277" s="3">
        <f>C1277-B1277</f>
        <v>0</v>
      </c>
    </row>
    <row r="1278" spans="1:4">
      <c r="A1278" s="12">
        <v>44740</v>
      </c>
      <c r="B1278" s="3">
        <v>96</v>
      </c>
      <c r="C1278" s="3">
        <v>96</v>
      </c>
      <c r="D1278" s="3">
        <f>C1278-B1278</f>
        <v>0</v>
      </c>
    </row>
    <row r="1279" spans="1:4">
      <c r="A1279" s="12">
        <v>44741</v>
      </c>
      <c r="B1279" s="3">
        <v>96</v>
      </c>
      <c r="C1279" s="3">
        <v>96</v>
      </c>
      <c r="D1279" s="3">
        <f>C1279-B1279</f>
        <v>0</v>
      </c>
    </row>
    <row r="1280" spans="1:4">
      <c r="A1280" s="12">
        <v>44742</v>
      </c>
      <c r="B1280" s="3">
        <v>96</v>
      </c>
      <c r="C1280" s="3">
        <v>96</v>
      </c>
      <c r="D1280" s="3">
        <f>C1280-B1280</f>
        <v>0</v>
      </c>
    </row>
    <row r="1281" spans="1:4">
      <c r="A1281" s="12">
        <v>44743</v>
      </c>
      <c r="B1281" s="3">
        <v>96</v>
      </c>
      <c r="C1281" s="3">
        <v>96</v>
      </c>
      <c r="D1281" s="3">
        <f>C1281-B1281</f>
        <v>0</v>
      </c>
    </row>
    <row r="1282" spans="1:4">
      <c r="A1282" s="12">
        <v>44744</v>
      </c>
      <c r="B1282" s="3">
        <v>96</v>
      </c>
      <c r="C1282" s="3">
        <v>96</v>
      </c>
      <c r="D1282" s="3">
        <f>C1282-B1282</f>
        <v>0</v>
      </c>
    </row>
    <row r="1283" spans="1:4">
      <c r="A1283" s="12">
        <v>44745</v>
      </c>
      <c r="B1283" s="3">
        <v>96</v>
      </c>
      <c r="C1283" s="3">
        <v>96</v>
      </c>
      <c r="D1283" s="3">
        <f>C1283-B1283</f>
        <v>0</v>
      </c>
    </row>
    <row r="1284" spans="1:4">
      <c r="A1284" s="12">
        <v>44746</v>
      </c>
      <c r="B1284" s="3">
        <v>96</v>
      </c>
      <c r="C1284" s="3">
        <v>96</v>
      </c>
      <c r="D1284" s="3">
        <f>C1284-B1284</f>
        <v>0</v>
      </c>
    </row>
    <row r="1285" spans="1:4">
      <c r="A1285" s="12">
        <v>44747</v>
      </c>
      <c r="B1285" s="3">
        <v>96</v>
      </c>
      <c r="C1285" s="3">
        <v>96</v>
      </c>
      <c r="D1285" s="3">
        <f>C1285-B1285</f>
        <v>0</v>
      </c>
    </row>
    <row r="1286" spans="1:4">
      <c r="A1286" s="12">
        <v>44748</v>
      </c>
      <c r="B1286" s="3">
        <v>96</v>
      </c>
      <c r="C1286" s="3">
        <v>96</v>
      </c>
      <c r="D1286" s="3">
        <f>C1286-B1286</f>
        <v>0</v>
      </c>
    </row>
    <row r="1287" spans="1:4">
      <c r="A1287" s="12">
        <v>44749</v>
      </c>
      <c r="B1287" s="3">
        <v>96</v>
      </c>
      <c r="C1287" s="3">
        <v>96</v>
      </c>
      <c r="D1287" s="3">
        <f>C1287-B1287</f>
        <v>0</v>
      </c>
    </row>
    <row r="1288" spans="1:4">
      <c r="A1288" s="12">
        <v>44750</v>
      </c>
      <c r="B1288" s="3">
        <v>96</v>
      </c>
      <c r="C1288" s="3">
        <v>96</v>
      </c>
      <c r="D1288" s="3">
        <f>C1288-B1288</f>
        <v>0</v>
      </c>
    </row>
    <row r="1289" spans="1:4">
      <c r="A1289" s="12">
        <v>44751</v>
      </c>
      <c r="B1289" s="3">
        <v>96</v>
      </c>
      <c r="C1289" s="3">
        <v>96</v>
      </c>
      <c r="D1289" s="3">
        <f>C1289-B1289</f>
        <v>0</v>
      </c>
    </row>
    <row r="1290" spans="1:4">
      <c r="A1290" s="12">
        <v>44752</v>
      </c>
      <c r="B1290" s="3">
        <v>96</v>
      </c>
      <c r="C1290" s="3">
        <v>96</v>
      </c>
      <c r="D1290" s="3">
        <f>C1290-B1290</f>
        <v>0</v>
      </c>
    </row>
    <row r="1291" spans="1:4">
      <c r="A1291" s="12">
        <v>44753</v>
      </c>
      <c r="B1291" s="3">
        <v>96</v>
      </c>
      <c r="C1291" s="3">
        <v>96</v>
      </c>
      <c r="D1291" s="3">
        <f>C1291-B1291</f>
        <v>0</v>
      </c>
    </row>
    <row r="1292" spans="1:4">
      <c r="A1292" s="12">
        <v>44754</v>
      </c>
      <c r="B1292" s="3">
        <v>96</v>
      </c>
      <c r="C1292" s="3">
        <v>96</v>
      </c>
      <c r="D1292" s="3">
        <f>C1292-B1292</f>
        <v>0</v>
      </c>
    </row>
    <row r="1293" spans="1:4">
      <c r="A1293" s="12">
        <v>44755</v>
      </c>
      <c r="B1293" s="3">
        <v>96</v>
      </c>
      <c r="C1293" s="3">
        <v>96</v>
      </c>
      <c r="D1293" s="3">
        <f>C1293-B1293</f>
        <v>0</v>
      </c>
    </row>
    <row r="1294" spans="1:4">
      <c r="A1294" s="12">
        <v>44756</v>
      </c>
      <c r="B1294" s="3">
        <v>96</v>
      </c>
      <c r="C1294" s="3">
        <v>96</v>
      </c>
      <c r="D1294" s="3">
        <f>C1294-B1294</f>
        <v>0</v>
      </c>
    </row>
    <row r="1295" spans="1:4">
      <c r="A1295" s="12">
        <v>44757</v>
      </c>
      <c r="B1295" s="3">
        <v>96</v>
      </c>
      <c r="C1295" s="3">
        <v>96</v>
      </c>
      <c r="D1295" s="3">
        <f>C1295-B1295</f>
        <v>0</v>
      </c>
    </row>
    <row r="1296" spans="1:4">
      <c r="A1296" s="12">
        <v>44758</v>
      </c>
      <c r="B1296" s="3">
        <v>96</v>
      </c>
      <c r="C1296" s="3">
        <v>96</v>
      </c>
      <c r="D1296" s="3">
        <f>C1296-B1296</f>
        <v>0</v>
      </c>
    </row>
    <row r="1297" spans="1:4">
      <c r="A1297" s="12">
        <v>44759</v>
      </c>
      <c r="B1297" s="3">
        <v>96</v>
      </c>
      <c r="C1297" s="3">
        <v>96</v>
      </c>
      <c r="D1297" s="3">
        <f>C1297-B1297</f>
        <v>0</v>
      </c>
    </row>
    <row r="1298" spans="1:4">
      <c r="A1298" s="12">
        <v>44760</v>
      </c>
      <c r="B1298" s="3">
        <v>96</v>
      </c>
      <c r="C1298" s="3">
        <v>96</v>
      </c>
      <c r="D1298" s="3">
        <f>C1298-B1298</f>
        <v>0</v>
      </c>
    </row>
    <row r="1299" spans="1:4">
      <c r="A1299" s="12">
        <v>44761</v>
      </c>
      <c r="B1299" s="3">
        <v>96</v>
      </c>
      <c r="C1299" s="3">
        <v>96</v>
      </c>
      <c r="D1299" s="3">
        <f>C1299-B1299</f>
        <v>0</v>
      </c>
    </row>
    <row r="1300" spans="1:4">
      <c r="A1300" s="12">
        <v>44762</v>
      </c>
      <c r="B1300" s="3">
        <v>96</v>
      </c>
      <c r="C1300" s="3">
        <v>96</v>
      </c>
      <c r="D1300" s="3">
        <f>C1300-B1300</f>
        <v>0</v>
      </c>
    </row>
    <row r="1301" spans="1:4">
      <c r="A1301" s="12">
        <v>44763</v>
      </c>
      <c r="B1301" s="3">
        <v>96</v>
      </c>
      <c r="C1301" s="3">
        <v>96</v>
      </c>
      <c r="D1301" s="3">
        <f>C1301-B1301</f>
        <v>0</v>
      </c>
    </row>
    <row r="1302" spans="1:4">
      <c r="A1302" s="12">
        <v>44764</v>
      </c>
      <c r="B1302" s="3">
        <v>96</v>
      </c>
      <c r="C1302" s="3">
        <v>96</v>
      </c>
      <c r="D1302" s="3">
        <f>C1302-B1302</f>
        <v>0</v>
      </c>
    </row>
    <row r="1303" spans="1:4">
      <c r="A1303" s="12">
        <v>44765</v>
      </c>
      <c r="B1303" s="3">
        <v>96</v>
      </c>
      <c r="C1303" s="3">
        <v>96</v>
      </c>
      <c r="D1303" s="3">
        <f>C1303-B1303</f>
        <v>0</v>
      </c>
    </row>
    <row r="1304" spans="1:4">
      <c r="A1304" s="12">
        <v>44766</v>
      </c>
      <c r="B1304" s="3">
        <v>96</v>
      </c>
      <c r="C1304" s="3">
        <v>96</v>
      </c>
      <c r="D1304" s="3">
        <f>C1304-B1304</f>
        <v>0</v>
      </c>
    </row>
    <row r="1305" spans="1:4">
      <c r="A1305" s="12">
        <v>44767</v>
      </c>
      <c r="B1305" s="3">
        <v>96</v>
      </c>
      <c r="C1305" s="3">
        <v>96</v>
      </c>
      <c r="D1305" s="3">
        <f>C1305-B1305</f>
        <v>0</v>
      </c>
    </row>
    <row r="1306" spans="1:4">
      <c r="A1306" s="12">
        <v>44768</v>
      </c>
      <c r="B1306" s="3">
        <v>96</v>
      </c>
      <c r="C1306" s="3">
        <v>96</v>
      </c>
      <c r="D1306" s="3">
        <f>C1306-B1306</f>
        <v>0</v>
      </c>
    </row>
    <row r="1307" spans="1:4">
      <c r="A1307" s="12">
        <v>44769</v>
      </c>
      <c r="B1307" s="3">
        <v>96</v>
      </c>
      <c r="C1307" s="3">
        <v>96</v>
      </c>
      <c r="D1307" s="3">
        <f>C1307-B1307</f>
        <v>0</v>
      </c>
    </row>
    <row r="1308" spans="1:4">
      <c r="A1308" s="12">
        <v>44770</v>
      </c>
      <c r="B1308" s="3">
        <v>96</v>
      </c>
      <c r="C1308" s="3">
        <v>96</v>
      </c>
      <c r="D1308" s="3">
        <f>C1308-B1308</f>
        <v>0</v>
      </c>
    </row>
    <row r="1309" spans="1:4">
      <c r="A1309" s="12">
        <v>44771</v>
      </c>
      <c r="B1309" s="3">
        <v>96</v>
      </c>
      <c r="C1309" s="3">
        <v>96</v>
      </c>
      <c r="D1309" s="3">
        <f>C1309-B1309</f>
        <v>0</v>
      </c>
    </row>
    <row r="1310" spans="1:4">
      <c r="A1310" s="12">
        <v>44772</v>
      </c>
      <c r="B1310" s="3">
        <v>96</v>
      </c>
      <c r="C1310" s="3">
        <v>96</v>
      </c>
      <c r="D1310" s="3">
        <f>C1310-B1310</f>
        <v>0</v>
      </c>
    </row>
    <row r="1311" spans="1:4">
      <c r="A1311" s="12">
        <v>44773</v>
      </c>
      <c r="B1311" s="3">
        <v>96</v>
      </c>
      <c r="C1311" s="3">
        <v>96</v>
      </c>
      <c r="D1311" s="3">
        <f>C1311-B1311</f>
        <v>0</v>
      </c>
    </row>
    <row r="1312" spans="1:4">
      <c r="A1312" s="12">
        <v>44774</v>
      </c>
      <c r="B1312" s="3">
        <v>96</v>
      </c>
      <c r="C1312" s="3">
        <v>96</v>
      </c>
      <c r="D1312" s="3">
        <f>C1312-B1312</f>
        <v>0</v>
      </c>
    </row>
    <row r="1313" spans="1:4">
      <c r="A1313" s="12">
        <v>44775</v>
      </c>
      <c r="B1313" s="3">
        <v>96</v>
      </c>
      <c r="C1313" s="3">
        <v>96</v>
      </c>
      <c r="D1313" s="3">
        <f>C1313-B1313</f>
        <v>0</v>
      </c>
    </row>
    <row r="1314" spans="1:4">
      <c r="A1314" s="12">
        <v>44776</v>
      </c>
      <c r="B1314" s="3">
        <v>96</v>
      </c>
      <c r="C1314" s="3">
        <v>96</v>
      </c>
      <c r="D1314" s="3">
        <f>C1314-B1314</f>
        <v>0</v>
      </c>
    </row>
    <row r="1315" spans="1:4">
      <c r="A1315" s="12">
        <v>44777</v>
      </c>
      <c r="B1315" s="3">
        <v>96</v>
      </c>
      <c r="C1315" s="3">
        <v>96</v>
      </c>
      <c r="D1315" s="3">
        <f>C1315-B1315</f>
        <v>0</v>
      </c>
    </row>
    <row r="1316" spans="1:4">
      <c r="A1316" s="12">
        <v>44778</v>
      </c>
      <c r="B1316" s="3">
        <v>96</v>
      </c>
      <c r="C1316" s="3">
        <v>96</v>
      </c>
      <c r="D1316" s="3">
        <f>C1316-B1316</f>
        <v>0</v>
      </c>
    </row>
    <row r="1317" spans="1:4">
      <c r="A1317" s="12">
        <v>44779</v>
      </c>
      <c r="B1317" s="3">
        <v>96</v>
      </c>
      <c r="C1317" s="3">
        <v>96</v>
      </c>
      <c r="D1317" s="3">
        <f>C1317-B1317</f>
        <v>0</v>
      </c>
    </row>
    <row r="1318" spans="1:4">
      <c r="A1318" s="12">
        <v>44780</v>
      </c>
      <c r="B1318" s="3">
        <v>96</v>
      </c>
      <c r="C1318" s="3">
        <v>96</v>
      </c>
      <c r="D1318" s="3">
        <f>C1318-B1318</f>
        <v>0</v>
      </c>
    </row>
    <row r="1319" spans="1:4">
      <c r="A1319" s="12">
        <v>44781</v>
      </c>
      <c r="B1319" s="3">
        <v>96</v>
      </c>
      <c r="C1319" s="3">
        <v>96</v>
      </c>
      <c r="D1319" s="3">
        <f>C1319-B1319</f>
        <v>0</v>
      </c>
    </row>
    <row r="1320" spans="1:4">
      <c r="A1320" s="12">
        <v>44782</v>
      </c>
      <c r="B1320" s="3">
        <v>96</v>
      </c>
      <c r="C1320" s="3">
        <v>96</v>
      </c>
      <c r="D1320" s="3">
        <f>C1320-B1320</f>
        <v>0</v>
      </c>
    </row>
    <row r="1321" spans="1:4">
      <c r="A1321" s="12">
        <v>44783</v>
      </c>
      <c r="B1321" s="3">
        <v>96</v>
      </c>
      <c r="C1321" s="3">
        <v>96</v>
      </c>
      <c r="D1321" s="3">
        <f>C1321-B1321</f>
        <v>0</v>
      </c>
    </row>
    <row r="1322" spans="1:4">
      <c r="A1322" s="12">
        <v>44784</v>
      </c>
      <c r="B1322" s="3">
        <v>96</v>
      </c>
      <c r="C1322" s="3">
        <v>96</v>
      </c>
      <c r="D1322" s="3">
        <f>C1322-B1322</f>
        <v>0</v>
      </c>
    </row>
    <row r="1323" spans="1:4">
      <c r="A1323" s="12">
        <v>44785</v>
      </c>
      <c r="B1323" s="3">
        <v>96</v>
      </c>
      <c r="C1323" s="3">
        <v>96</v>
      </c>
      <c r="D1323" s="3">
        <f>C1323-B1323</f>
        <v>0</v>
      </c>
    </row>
    <row r="1324" spans="1:4">
      <c r="A1324" s="12">
        <v>44786</v>
      </c>
      <c r="B1324" s="3">
        <v>96</v>
      </c>
      <c r="C1324" s="3">
        <v>96</v>
      </c>
      <c r="D1324" s="3">
        <f>C1324-B1324</f>
        <v>0</v>
      </c>
    </row>
    <row r="1325" spans="1:4">
      <c r="A1325" s="12">
        <v>44787</v>
      </c>
      <c r="B1325" s="3">
        <v>96</v>
      </c>
      <c r="C1325" s="3">
        <v>96</v>
      </c>
      <c r="D1325" s="3">
        <f>C1325-B1325</f>
        <v>0</v>
      </c>
    </row>
    <row r="1326" spans="1:4">
      <c r="A1326" s="12">
        <v>44788</v>
      </c>
      <c r="B1326" s="3">
        <v>96</v>
      </c>
      <c r="C1326" s="3">
        <v>96</v>
      </c>
      <c r="D1326" s="3">
        <f>C1326-B1326</f>
        <v>0</v>
      </c>
    </row>
    <row r="1327" spans="1:4">
      <c r="A1327" s="12">
        <v>44789</v>
      </c>
      <c r="B1327" s="3">
        <v>96</v>
      </c>
      <c r="C1327" s="3">
        <v>96</v>
      </c>
      <c r="D1327" s="3">
        <f>C1327-B1327</f>
        <v>0</v>
      </c>
    </row>
    <row r="1328" spans="1:4">
      <c r="A1328" s="12">
        <v>44790</v>
      </c>
      <c r="B1328" s="3">
        <v>96</v>
      </c>
      <c r="C1328" s="3">
        <v>96</v>
      </c>
      <c r="D1328" s="3">
        <f>C1328-B1328</f>
        <v>0</v>
      </c>
    </row>
    <row r="1329" spans="1:4">
      <c r="A1329" s="12">
        <v>44791</v>
      </c>
      <c r="B1329" s="3">
        <v>96</v>
      </c>
      <c r="C1329" s="3">
        <v>96</v>
      </c>
      <c r="D1329" s="3">
        <f>C1329-B1329</f>
        <v>0</v>
      </c>
    </row>
    <row r="1330" spans="1:4">
      <c r="A1330" s="12">
        <v>44792</v>
      </c>
      <c r="B1330" s="3">
        <v>96</v>
      </c>
      <c r="C1330" s="3">
        <v>96</v>
      </c>
      <c r="D1330" s="3">
        <f>C1330-B1330</f>
        <v>0</v>
      </c>
    </row>
    <row r="1331" spans="1:4">
      <c r="A1331" s="12">
        <v>44793</v>
      </c>
      <c r="B1331" s="3">
        <v>96</v>
      </c>
      <c r="C1331" s="3">
        <v>96</v>
      </c>
      <c r="D1331" s="3">
        <f>C1331-B1331</f>
        <v>0</v>
      </c>
    </row>
    <row r="1332" spans="1:4">
      <c r="A1332" s="12">
        <v>44794</v>
      </c>
      <c r="B1332" s="3">
        <v>96</v>
      </c>
      <c r="C1332" s="3">
        <v>96</v>
      </c>
      <c r="D1332" s="3">
        <f>C1332-B1332</f>
        <v>0</v>
      </c>
    </row>
    <row r="1333" spans="1:4">
      <c r="A1333" s="12">
        <v>44795</v>
      </c>
      <c r="B1333" s="3">
        <v>96</v>
      </c>
      <c r="C1333" s="3">
        <v>96</v>
      </c>
      <c r="D1333" s="3">
        <f>C1333-B1333</f>
        <v>0</v>
      </c>
    </row>
    <row r="1334" spans="1:4">
      <c r="A1334" s="12">
        <v>44796</v>
      </c>
      <c r="B1334" s="3">
        <v>96</v>
      </c>
      <c r="C1334" s="3">
        <v>96</v>
      </c>
      <c r="D1334" s="3">
        <f>C1334-B1334</f>
        <v>0</v>
      </c>
    </row>
    <row r="1335" spans="1:4">
      <c r="A1335" s="12">
        <v>44797</v>
      </c>
      <c r="B1335" s="3">
        <v>96</v>
      </c>
      <c r="C1335" s="3">
        <v>96</v>
      </c>
      <c r="D1335" s="3">
        <f>C1335-B1335</f>
        <v>0</v>
      </c>
    </row>
    <row r="1336" spans="1:4">
      <c r="A1336" s="12">
        <v>44798</v>
      </c>
      <c r="B1336" s="3">
        <v>96</v>
      </c>
      <c r="C1336" s="3">
        <v>96</v>
      </c>
      <c r="D1336" s="3">
        <f>C1336-B1336</f>
        <v>0</v>
      </c>
    </row>
    <row r="1337" spans="1:4">
      <c r="A1337" s="12">
        <v>44799</v>
      </c>
      <c r="B1337" s="3">
        <v>96</v>
      </c>
      <c r="C1337" s="3">
        <v>96</v>
      </c>
      <c r="D1337" s="3">
        <f>C1337-B1337</f>
        <v>0</v>
      </c>
    </row>
    <row r="1338" spans="1:4">
      <c r="A1338" s="12">
        <v>44800</v>
      </c>
      <c r="B1338" s="3">
        <v>96</v>
      </c>
      <c r="C1338" s="3">
        <v>96</v>
      </c>
      <c r="D1338" s="3">
        <f>C1338-B1338</f>
        <v>0</v>
      </c>
    </row>
    <row r="1339" spans="1:4">
      <c r="A1339" s="12">
        <v>44801</v>
      </c>
      <c r="B1339" s="3">
        <v>96</v>
      </c>
      <c r="C1339" s="3">
        <v>96</v>
      </c>
      <c r="D1339" s="3">
        <f>C1339-B1339</f>
        <v>0</v>
      </c>
    </row>
    <row r="1340" spans="1:4">
      <c r="A1340" s="12">
        <v>44802</v>
      </c>
      <c r="B1340" s="3">
        <v>96</v>
      </c>
      <c r="C1340" s="3">
        <v>96</v>
      </c>
      <c r="D1340" s="3">
        <f>C1340-B1340</f>
        <v>0</v>
      </c>
    </row>
    <row r="1341" spans="1:4">
      <c r="A1341" s="12">
        <v>44803</v>
      </c>
      <c r="B1341" s="3">
        <v>96</v>
      </c>
      <c r="C1341" s="3">
        <v>96</v>
      </c>
      <c r="D1341" s="3">
        <f>C1341-B1341</f>
        <v>0</v>
      </c>
    </row>
    <row r="1342" spans="1:4">
      <c r="A1342" s="12">
        <v>44804</v>
      </c>
      <c r="B1342" s="3">
        <v>96</v>
      </c>
      <c r="C1342" s="3">
        <v>96</v>
      </c>
      <c r="D1342" s="3">
        <f>C1342-B1342</f>
        <v>0</v>
      </c>
    </row>
    <row r="1343" spans="1:4">
      <c r="A1343" s="12">
        <v>44805</v>
      </c>
      <c r="B1343" s="3">
        <v>96</v>
      </c>
      <c r="C1343" s="3">
        <v>96</v>
      </c>
      <c r="D1343" s="3">
        <f>C1343-B1343</f>
        <v>0</v>
      </c>
    </row>
    <row r="1344" spans="1:4">
      <c r="A1344" s="12">
        <v>44806</v>
      </c>
      <c r="B1344" s="3">
        <v>96</v>
      </c>
      <c r="C1344" s="3">
        <v>96</v>
      </c>
      <c r="D1344" s="3">
        <f>C1344-B1344</f>
        <v>0</v>
      </c>
    </row>
    <row r="1345" spans="1:4">
      <c r="A1345" s="12">
        <v>44807</v>
      </c>
      <c r="B1345" s="3">
        <v>96</v>
      </c>
      <c r="C1345" s="3">
        <v>96</v>
      </c>
      <c r="D1345" s="3">
        <f>C1345-B1345</f>
        <v>0</v>
      </c>
    </row>
    <row r="1346" spans="1:4">
      <c r="A1346" s="12">
        <v>44808</v>
      </c>
      <c r="B1346" s="3">
        <v>96</v>
      </c>
      <c r="C1346" s="3">
        <v>96</v>
      </c>
      <c r="D1346" s="3">
        <f>C1346-B1346</f>
        <v>0</v>
      </c>
    </row>
    <row r="1347" spans="1:4">
      <c r="A1347" s="12">
        <v>44809</v>
      </c>
      <c r="B1347" s="3">
        <v>96</v>
      </c>
      <c r="C1347" s="3">
        <v>96</v>
      </c>
      <c r="D1347" s="3">
        <f>C1347-B1347</f>
        <v>0</v>
      </c>
    </row>
    <row r="1348" spans="1:4">
      <c r="A1348" s="12">
        <v>44810</v>
      </c>
      <c r="B1348" s="3">
        <v>96</v>
      </c>
      <c r="C1348" s="3">
        <v>96</v>
      </c>
      <c r="D1348" s="3">
        <f>C1348-B1348</f>
        <v>0</v>
      </c>
    </row>
    <row r="1349" spans="1:4">
      <c r="A1349" s="12">
        <v>44811</v>
      </c>
      <c r="B1349" s="3">
        <v>96</v>
      </c>
      <c r="C1349" s="3">
        <v>96</v>
      </c>
      <c r="D1349" s="3">
        <f>C1349-B1349</f>
        <v>0</v>
      </c>
    </row>
    <row r="1350" spans="1:4">
      <c r="A1350" s="12">
        <v>44812</v>
      </c>
      <c r="B1350" s="3">
        <v>96</v>
      </c>
      <c r="C1350" s="3">
        <v>96</v>
      </c>
      <c r="D1350" s="3">
        <f>C1350-B1350</f>
        <v>0</v>
      </c>
    </row>
    <row r="1351" spans="1:4">
      <c r="A1351" s="12">
        <v>44813</v>
      </c>
      <c r="B1351" s="3">
        <v>96</v>
      </c>
      <c r="C1351" s="3">
        <v>96</v>
      </c>
      <c r="D1351" s="3">
        <f>C1351-B1351</f>
        <v>0</v>
      </c>
    </row>
    <row r="1352" spans="1:4">
      <c r="A1352" s="12">
        <v>44814</v>
      </c>
      <c r="B1352" s="3">
        <v>96</v>
      </c>
      <c r="C1352" s="3">
        <v>96</v>
      </c>
      <c r="D1352" s="3">
        <f>C1352-B1352</f>
        <v>0</v>
      </c>
    </row>
    <row r="1353" spans="1:4">
      <c r="A1353" s="12">
        <v>44815</v>
      </c>
      <c r="B1353" s="3">
        <v>96</v>
      </c>
      <c r="C1353" s="3">
        <v>96</v>
      </c>
      <c r="D1353" s="3">
        <f>C1353-B1353</f>
        <v>0</v>
      </c>
    </row>
    <row r="1354" spans="1:4">
      <c r="A1354" s="12">
        <v>44816</v>
      </c>
      <c r="B1354" s="3">
        <v>96</v>
      </c>
      <c r="C1354" s="3">
        <v>96</v>
      </c>
      <c r="D1354" s="3">
        <f>C1354-B1354</f>
        <v>0</v>
      </c>
    </row>
    <row r="1355" spans="1:4">
      <c r="A1355" s="12">
        <v>44817</v>
      </c>
      <c r="B1355" s="3">
        <v>96</v>
      </c>
      <c r="C1355" s="3">
        <v>96</v>
      </c>
      <c r="D1355" s="3">
        <f>C1355-B1355</f>
        <v>0</v>
      </c>
    </row>
    <row r="1356" spans="1:4">
      <c r="A1356" s="12">
        <v>44818</v>
      </c>
      <c r="B1356" s="3">
        <v>96</v>
      </c>
      <c r="C1356" s="3">
        <v>96</v>
      </c>
      <c r="D1356" s="3">
        <f>C1356-B1356</f>
        <v>0</v>
      </c>
    </row>
    <row r="1357" spans="1:4">
      <c r="A1357" s="12">
        <v>44819</v>
      </c>
      <c r="B1357" s="3">
        <v>96</v>
      </c>
      <c r="C1357" s="3">
        <v>96</v>
      </c>
      <c r="D1357" s="3">
        <f>C1357-B1357</f>
        <v>0</v>
      </c>
    </row>
    <row r="1358" spans="1:4">
      <c r="A1358" s="12">
        <v>44820</v>
      </c>
      <c r="B1358" s="3">
        <v>96</v>
      </c>
      <c r="C1358" s="3">
        <v>96</v>
      </c>
      <c r="D1358" s="3">
        <f>C1358-B1358</f>
        <v>0</v>
      </c>
    </row>
    <row r="1359" spans="1:4">
      <c r="A1359" s="12">
        <v>44821</v>
      </c>
      <c r="B1359" s="3">
        <v>96</v>
      </c>
      <c r="C1359" s="3">
        <v>96</v>
      </c>
      <c r="D1359" s="3">
        <f>C1359-B1359</f>
        <v>0</v>
      </c>
    </row>
    <row r="1360" spans="1:4">
      <c r="A1360" s="12">
        <v>44822</v>
      </c>
      <c r="B1360" s="3">
        <v>96</v>
      </c>
      <c r="C1360" s="3">
        <v>96</v>
      </c>
      <c r="D1360" s="3">
        <f>C1360-B1360</f>
        <v>0</v>
      </c>
    </row>
    <row r="1361" spans="1:4">
      <c r="A1361" s="12">
        <v>44823</v>
      </c>
      <c r="B1361" s="3">
        <v>96</v>
      </c>
      <c r="C1361" s="3">
        <v>96</v>
      </c>
      <c r="D1361" s="3">
        <f>C1361-B1361</f>
        <v>0</v>
      </c>
    </row>
    <row r="1362" spans="1:4">
      <c r="A1362" s="12">
        <v>44824</v>
      </c>
      <c r="B1362" s="3">
        <v>96</v>
      </c>
      <c r="C1362" s="3">
        <v>96</v>
      </c>
      <c r="D1362" s="3">
        <f>C1362-B1362</f>
        <v>0</v>
      </c>
    </row>
    <row r="1363" spans="1:4">
      <c r="A1363" s="12">
        <v>44825</v>
      </c>
      <c r="B1363" s="3">
        <v>96</v>
      </c>
      <c r="C1363" s="3">
        <v>96</v>
      </c>
      <c r="D1363" s="3">
        <f>C1363-B1363</f>
        <v>0</v>
      </c>
    </row>
    <row r="1364" spans="1:4">
      <c r="A1364" s="12">
        <v>44826</v>
      </c>
      <c r="B1364" s="3">
        <v>96</v>
      </c>
      <c r="C1364" s="3">
        <v>96</v>
      </c>
      <c r="D1364" s="3">
        <f>C1364-B1364</f>
        <v>0</v>
      </c>
    </row>
    <row r="1365" spans="1:4">
      <c r="A1365" s="12">
        <v>44827</v>
      </c>
      <c r="B1365" s="3">
        <v>96</v>
      </c>
      <c r="C1365" s="3">
        <v>96</v>
      </c>
      <c r="D1365" s="3">
        <f>C1365-B1365</f>
        <v>0</v>
      </c>
    </row>
    <row r="1366" spans="1:4">
      <c r="A1366" s="12">
        <v>44828</v>
      </c>
      <c r="B1366" s="3">
        <v>96</v>
      </c>
      <c r="C1366" s="3">
        <v>96</v>
      </c>
      <c r="D1366" s="3">
        <f>C1366-B1366</f>
        <v>0</v>
      </c>
    </row>
    <row r="1367" spans="1:4">
      <c r="A1367" s="12">
        <v>44829</v>
      </c>
      <c r="B1367" s="3">
        <v>96</v>
      </c>
      <c r="C1367" s="3">
        <v>96</v>
      </c>
      <c r="D1367" s="3">
        <f>C1367-B1367</f>
        <v>0</v>
      </c>
    </row>
    <row r="1368" spans="1:4">
      <c r="A1368" s="12">
        <v>44830</v>
      </c>
      <c r="B1368" s="3">
        <v>96</v>
      </c>
      <c r="C1368" s="3">
        <v>96</v>
      </c>
      <c r="D1368" s="3">
        <f>C1368-B1368</f>
        <v>0</v>
      </c>
    </row>
    <row r="1369" spans="1:4">
      <c r="A1369" s="12">
        <v>44831</v>
      </c>
      <c r="B1369" s="3">
        <v>96</v>
      </c>
      <c r="C1369" s="3">
        <v>96</v>
      </c>
      <c r="D1369" s="3">
        <f>C1369-B1369</f>
        <v>0</v>
      </c>
    </row>
    <row r="1370" spans="1:4">
      <c r="A1370" s="12">
        <v>44832</v>
      </c>
      <c r="B1370" s="3">
        <v>96</v>
      </c>
      <c r="C1370" s="3">
        <v>96</v>
      </c>
      <c r="D1370" s="3">
        <f>C1370-B1370</f>
        <v>0</v>
      </c>
    </row>
    <row r="1371" spans="1:4">
      <c r="A1371" s="12">
        <v>44833</v>
      </c>
      <c r="B1371" s="3">
        <v>96</v>
      </c>
      <c r="C1371" s="3">
        <v>96</v>
      </c>
      <c r="D1371" s="3">
        <f>C1371-B1371</f>
        <v>0</v>
      </c>
    </row>
    <row r="1372" spans="1:4">
      <c r="A1372" s="12">
        <v>44834</v>
      </c>
      <c r="B1372" s="3">
        <v>96</v>
      </c>
      <c r="C1372" s="3">
        <v>96</v>
      </c>
      <c r="D1372" s="3">
        <f>C1372-B1372</f>
        <v>0</v>
      </c>
    </row>
    <row r="1373" spans="1:4">
      <c r="A1373" s="12">
        <v>44835</v>
      </c>
      <c r="B1373" s="3">
        <v>96</v>
      </c>
      <c r="C1373" s="3">
        <v>96</v>
      </c>
      <c r="D1373" s="3">
        <f>C1373-B1373</f>
        <v>0</v>
      </c>
    </row>
    <row r="1374" spans="1:4">
      <c r="A1374" s="12">
        <v>44836</v>
      </c>
      <c r="B1374" s="3">
        <v>96</v>
      </c>
      <c r="C1374" s="3">
        <v>96</v>
      </c>
      <c r="D1374" s="3">
        <f>C1374-B1374</f>
        <v>0</v>
      </c>
    </row>
    <row r="1375" spans="1:4">
      <c r="A1375" s="12">
        <v>44837</v>
      </c>
      <c r="B1375" s="3">
        <v>96</v>
      </c>
      <c r="C1375" s="3">
        <v>96</v>
      </c>
      <c r="D1375" s="3">
        <f>C1375-B1375</f>
        <v>0</v>
      </c>
    </row>
    <row r="1376" spans="1:4">
      <c r="A1376" s="12">
        <v>44838</v>
      </c>
      <c r="B1376" s="3">
        <v>96</v>
      </c>
      <c r="C1376" s="3">
        <v>96</v>
      </c>
      <c r="D1376" s="3">
        <f>C1376-B1376</f>
        <v>0</v>
      </c>
    </row>
    <row r="1377" spans="1:4">
      <c r="A1377" s="12">
        <v>44839</v>
      </c>
      <c r="B1377" s="3">
        <v>96</v>
      </c>
      <c r="C1377" s="3">
        <v>96</v>
      </c>
      <c r="D1377" s="3">
        <f>C1377-B1377</f>
        <v>0</v>
      </c>
    </row>
    <row r="1378" spans="1:4">
      <c r="A1378" s="12">
        <v>44840</v>
      </c>
      <c r="B1378" s="3">
        <v>96</v>
      </c>
      <c r="C1378" s="3">
        <v>96</v>
      </c>
      <c r="D1378" s="3">
        <f>C1378-B1378</f>
        <v>0</v>
      </c>
    </row>
    <row r="1379" spans="1:4">
      <c r="A1379" s="12">
        <v>44841</v>
      </c>
      <c r="B1379" s="3">
        <v>96</v>
      </c>
      <c r="C1379" s="3">
        <v>96</v>
      </c>
      <c r="D1379" s="3">
        <f>C1379-B1379</f>
        <v>0</v>
      </c>
    </row>
    <row r="1380" spans="1:4">
      <c r="A1380" s="12">
        <v>44842</v>
      </c>
      <c r="B1380" s="3">
        <v>96</v>
      </c>
      <c r="C1380" s="3">
        <v>96</v>
      </c>
      <c r="D1380" s="3">
        <f>C1380-B1380</f>
        <v>0</v>
      </c>
    </row>
    <row r="1381" spans="1:4">
      <c r="A1381" s="12">
        <v>44843</v>
      </c>
      <c r="B1381" s="3">
        <v>96</v>
      </c>
      <c r="C1381" s="3">
        <v>96</v>
      </c>
      <c r="D1381" s="3">
        <f>C1381-B1381</f>
        <v>0</v>
      </c>
    </row>
    <row r="1382" spans="1:4">
      <c r="A1382" s="12">
        <v>44844</v>
      </c>
      <c r="B1382" s="3">
        <v>96</v>
      </c>
      <c r="C1382" s="3">
        <v>96</v>
      </c>
      <c r="D1382" s="3">
        <f>C1382-B1382</f>
        <v>0</v>
      </c>
    </row>
    <row r="1383" spans="1:4">
      <c r="A1383" s="12">
        <v>44845</v>
      </c>
      <c r="B1383" s="3">
        <v>96</v>
      </c>
      <c r="C1383" s="3">
        <v>96</v>
      </c>
      <c r="D1383" s="3">
        <f>C1383-B1383</f>
        <v>0</v>
      </c>
    </row>
    <row r="1384" spans="1:4">
      <c r="A1384" s="12">
        <v>44846</v>
      </c>
      <c r="B1384" s="3">
        <v>96</v>
      </c>
      <c r="C1384" s="3">
        <v>96</v>
      </c>
      <c r="D1384" s="3">
        <f>C1384-B1384</f>
        <v>0</v>
      </c>
    </row>
    <row r="1385" spans="1:4">
      <c r="A1385" s="12">
        <v>44847</v>
      </c>
      <c r="B1385" s="3">
        <v>96</v>
      </c>
      <c r="C1385" s="3">
        <v>96</v>
      </c>
      <c r="D1385" s="3">
        <f>C1385-B1385</f>
        <v>0</v>
      </c>
    </row>
    <row r="1386" spans="1:4">
      <c r="A1386" s="12">
        <v>44848</v>
      </c>
      <c r="B1386" s="3">
        <v>96</v>
      </c>
      <c r="C1386" s="3">
        <v>96</v>
      </c>
      <c r="D1386" s="3">
        <f>C1386-B1386</f>
        <v>0</v>
      </c>
    </row>
    <row r="1387" spans="1:4">
      <c r="A1387" s="12">
        <v>44849</v>
      </c>
      <c r="B1387" s="3">
        <v>96</v>
      </c>
      <c r="C1387" s="3">
        <v>96</v>
      </c>
      <c r="D1387" s="3">
        <f>C1387-B1387</f>
        <v>0</v>
      </c>
    </row>
    <row r="1388" spans="1:4">
      <c r="A1388" s="12">
        <v>44850</v>
      </c>
      <c r="B1388" s="3">
        <v>96</v>
      </c>
      <c r="C1388" s="3">
        <v>96</v>
      </c>
      <c r="D1388" s="3">
        <f>C1388-B1388</f>
        <v>0</v>
      </c>
    </row>
    <row r="1389" spans="1:4">
      <c r="A1389" s="12">
        <v>44851</v>
      </c>
      <c r="B1389" s="3">
        <v>96</v>
      </c>
      <c r="C1389" s="3">
        <v>96</v>
      </c>
      <c r="D1389" s="3">
        <f>C1389-B1389</f>
        <v>0</v>
      </c>
    </row>
    <row r="1390" spans="1:4">
      <c r="A1390" s="12">
        <v>44852</v>
      </c>
      <c r="B1390" s="3">
        <v>96</v>
      </c>
      <c r="C1390" s="3">
        <v>96</v>
      </c>
      <c r="D1390" s="3">
        <f>C1390-B1390</f>
        <v>0</v>
      </c>
    </row>
    <row r="1391" spans="1:4">
      <c r="A1391" s="12">
        <v>44853</v>
      </c>
      <c r="B1391" s="3">
        <v>96</v>
      </c>
      <c r="C1391" s="3">
        <v>96</v>
      </c>
      <c r="D1391" s="3">
        <f>C1391-B1391</f>
        <v>0</v>
      </c>
    </row>
    <row r="1392" spans="1:4">
      <c r="A1392" s="12">
        <v>44854</v>
      </c>
      <c r="B1392" s="3">
        <v>96</v>
      </c>
      <c r="C1392" s="3">
        <v>96</v>
      </c>
      <c r="D1392" s="3">
        <f>C1392-B1392</f>
        <v>0</v>
      </c>
    </row>
    <row r="1393" spans="1:4">
      <c r="A1393" s="12">
        <v>44855</v>
      </c>
      <c r="B1393" s="3">
        <v>96</v>
      </c>
      <c r="C1393" s="3">
        <v>96</v>
      </c>
      <c r="D1393" s="3">
        <f>C1393-B1393</f>
        <v>0</v>
      </c>
    </row>
    <row r="1394" spans="1:4">
      <c r="A1394" s="12">
        <v>44856</v>
      </c>
      <c r="B1394" s="3">
        <v>96</v>
      </c>
      <c r="C1394" s="3">
        <v>96</v>
      </c>
      <c r="D1394" s="3">
        <f>C1394-B1394</f>
        <v>0</v>
      </c>
    </row>
    <row r="1395" spans="1:4">
      <c r="A1395" s="12">
        <v>44857</v>
      </c>
      <c r="B1395" s="3">
        <v>96</v>
      </c>
      <c r="C1395" s="3">
        <v>96</v>
      </c>
      <c r="D1395" s="3">
        <f>C1395-B1395</f>
        <v>0</v>
      </c>
    </row>
    <row r="1396" spans="1:4">
      <c r="A1396" s="12">
        <v>44858</v>
      </c>
      <c r="B1396" s="3">
        <v>96</v>
      </c>
      <c r="C1396" s="3">
        <v>96</v>
      </c>
      <c r="D1396" s="3">
        <f>C1396-B1396</f>
        <v>0</v>
      </c>
    </row>
    <row r="1397" spans="1:4">
      <c r="A1397" s="12">
        <v>44859</v>
      </c>
      <c r="B1397" s="3">
        <v>96</v>
      </c>
      <c r="C1397" s="3">
        <v>96</v>
      </c>
      <c r="D1397" s="3">
        <f>C1397-B1397</f>
        <v>0</v>
      </c>
    </row>
    <row r="1398" spans="1:4">
      <c r="A1398" s="12">
        <v>44860</v>
      </c>
      <c r="B1398" s="3">
        <v>96</v>
      </c>
      <c r="C1398" s="3">
        <v>96</v>
      </c>
      <c r="D1398" s="3">
        <f>C1398-B1398</f>
        <v>0</v>
      </c>
    </row>
    <row r="1399" spans="1:4">
      <c r="A1399" s="12">
        <v>44861</v>
      </c>
      <c r="B1399" s="3">
        <v>96</v>
      </c>
      <c r="C1399" s="3">
        <v>96</v>
      </c>
      <c r="D1399" s="3">
        <f>C1399-B1399</f>
        <v>0</v>
      </c>
    </row>
    <row r="1400" spans="1:4">
      <c r="A1400" s="12">
        <v>44862</v>
      </c>
      <c r="B1400" s="3">
        <v>96</v>
      </c>
      <c r="C1400" s="3">
        <v>96</v>
      </c>
      <c r="D1400" s="3">
        <f>C1400-B1400</f>
        <v>0</v>
      </c>
    </row>
    <row r="1401" spans="1:4">
      <c r="A1401" s="12">
        <v>44863</v>
      </c>
      <c r="B1401" s="3">
        <v>96</v>
      </c>
      <c r="C1401" s="3">
        <v>96</v>
      </c>
      <c r="D1401" s="3">
        <f>C1401-B1401</f>
        <v>0</v>
      </c>
    </row>
    <row r="1402" spans="1:4">
      <c r="A1402" s="12">
        <v>44864</v>
      </c>
      <c r="B1402" s="3">
        <v>100</v>
      </c>
      <c r="C1402" s="3">
        <v>100</v>
      </c>
      <c r="D1402" s="3">
        <f>C1402-B1402</f>
        <v>0</v>
      </c>
    </row>
    <row r="1403" spans="1:4">
      <c r="A1403" s="12">
        <v>44865</v>
      </c>
      <c r="B1403" s="3">
        <v>96</v>
      </c>
      <c r="C1403" s="3">
        <v>96</v>
      </c>
      <c r="D1403" s="3">
        <f>C1403-B1403</f>
        <v>0</v>
      </c>
    </row>
    <row r="1404" spans="1:4">
      <c r="A1404" s="12">
        <v>44866</v>
      </c>
      <c r="B1404" s="3">
        <v>96</v>
      </c>
      <c r="C1404" s="3">
        <v>96</v>
      </c>
      <c r="D1404" s="3">
        <f>C1404-B1404</f>
        <v>0</v>
      </c>
    </row>
    <row r="1405" spans="1:4">
      <c r="A1405" s="12">
        <v>44867</v>
      </c>
      <c r="B1405" s="3">
        <v>96</v>
      </c>
      <c r="C1405" s="3">
        <v>96</v>
      </c>
      <c r="D1405" s="3">
        <f>C1405-B1405</f>
        <v>0</v>
      </c>
    </row>
    <row r="1406" spans="1:4">
      <c r="A1406" s="12">
        <v>44868</v>
      </c>
      <c r="B1406" s="3">
        <v>96</v>
      </c>
      <c r="C1406" s="3">
        <v>96</v>
      </c>
      <c r="D1406" s="3">
        <f>C1406-B1406</f>
        <v>0</v>
      </c>
    </row>
    <row r="1407" spans="1:4">
      <c r="A1407" s="12">
        <v>44869</v>
      </c>
      <c r="B1407" s="3">
        <v>96</v>
      </c>
      <c r="C1407" s="3">
        <v>96</v>
      </c>
      <c r="D1407" s="3">
        <f>C1407-B1407</f>
        <v>0</v>
      </c>
    </row>
    <row r="1408" spans="1:4">
      <c r="A1408" s="12">
        <v>44870</v>
      </c>
      <c r="B1408" s="3">
        <v>96</v>
      </c>
      <c r="C1408" s="3">
        <v>96</v>
      </c>
      <c r="D1408" s="3">
        <f>C1408-B1408</f>
        <v>0</v>
      </c>
    </row>
    <row r="1409" spans="1:4">
      <c r="A1409" s="12">
        <v>44871</v>
      </c>
      <c r="B1409" s="3">
        <v>96</v>
      </c>
      <c r="C1409" s="3">
        <v>96</v>
      </c>
      <c r="D1409" s="3">
        <f>C1409-B1409</f>
        <v>0</v>
      </c>
    </row>
    <row r="1410" spans="1:4">
      <c r="A1410" s="12">
        <v>44872</v>
      </c>
      <c r="B1410" s="3">
        <v>96</v>
      </c>
      <c r="C1410" s="3">
        <v>96</v>
      </c>
      <c r="D1410" s="3">
        <f>C1410-B1410</f>
        <v>0</v>
      </c>
    </row>
    <row r="1411" spans="1:4">
      <c r="A1411" s="12">
        <v>44873</v>
      </c>
      <c r="B1411" s="3">
        <v>96</v>
      </c>
      <c r="C1411" s="3">
        <v>96</v>
      </c>
      <c r="D1411" s="3">
        <f>C1411-B1411</f>
        <v>0</v>
      </c>
    </row>
    <row r="1412" spans="1:4">
      <c r="A1412" s="12">
        <v>44874</v>
      </c>
      <c r="B1412" s="3">
        <v>96</v>
      </c>
      <c r="C1412" s="3">
        <v>96</v>
      </c>
      <c r="D1412" s="3">
        <f>C1412-B1412</f>
        <v>0</v>
      </c>
    </row>
    <row r="1413" spans="1:4">
      <c r="A1413" s="12">
        <v>44875</v>
      </c>
      <c r="B1413" s="3">
        <v>96</v>
      </c>
      <c r="C1413" s="3">
        <v>96</v>
      </c>
      <c r="D1413" s="3">
        <f>C1413-B1413</f>
        <v>0</v>
      </c>
    </row>
    <row r="1414" spans="1:4">
      <c r="A1414" s="12">
        <v>44876</v>
      </c>
      <c r="B1414" s="3">
        <v>96</v>
      </c>
      <c r="C1414" s="3">
        <v>96</v>
      </c>
      <c r="D1414" s="3">
        <f>C1414-B1414</f>
        <v>0</v>
      </c>
    </row>
    <row r="1415" spans="1:4">
      <c r="A1415" s="12">
        <v>44877</v>
      </c>
      <c r="B1415" s="3">
        <v>96</v>
      </c>
      <c r="C1415" s="3">
        <v>96</v>
      </c>
      <c r="D1415" s="3">
        <f>C1415-B1415</f>
        <v>0</v>
      </c>
    </row>
    <row r="1416" spans="1:4">
      <c r="A1416" s="12">
        <v>44878</v>
      </c>
      <c r="B1416" s="3">
        <v>96</v>
      </c>
      <c r="C1416" s="3">
        <v>96</v>
      </c>
      <c r="D1416" s="3">
        <f>C1416-B1416</f>
        <v>0</v>
      </c>
    </row>
    <row r="1417" spans="1:4">
      <c r="A1417" s="12">
        <v>44879</v>
      </c>
      <c r="B1417" s="3">
        <v>96</v>
      </c>
      <c r="C1417" s="3">
        <v>96</v>
      </c>
      <c r="D1417" s="3">
        <f>C1417-B1417</f>
        <v>0</v>
      </c>
    </row>
    <row r="1418" spans="1:4">
      <c r="A1418" s="12">
        <v>44880</v>
      </c>
      <c r="B1418" s="3">
        <v>96</v>
      </c>
      <c r="C1418" s="3">
        <v>96</v>
      </c>
      <c r="D1418" s="3">
        <f>C1418-B1418</f>
        <v>0</v>
      </c>
    </row>
    <row r="1419" spans="1:4">
      <c r="A1419" s="12">
        <v>44881</v>
      </c>
      <c r="B1419" s="3">
        <v>96</v>
      </c>
      <c r="C1419" s="3">
        <v>96</v>
      </c>
      <c r="D1419" s="3">
        <f>C1419-B1419</f>
        <v>0</v>
      </c>
    </row>
    <row r="1420" spans="1:4">
      <c r="A1420" s="12">
        <v>44882</v>
      </c>
      <c r="B1420" s="3">
        <v>96</v>
      </c>
      <c r="C1420" s="3">
        <v>96</v>
      </c>
      <c r="D1420" s="3">
        <f>C1420-B1420</f>
        <v>0</v>
      </c>
    </row>
    <row r="1421" spans="1:4">
      <c r="A1421" s="12">
        <v>44883</v>
      </c>
      <c r="B1421" s="3">
        <v>96</v>
      </c>
      <c r="C1421" s="3">
        <v>96</v>
      </c>
      <c r="D1421" s="3">
        <f>C1421-B1421</f>
        <v>0</v>
      </c>
    </row>
    <row r="1422" spans="1:4">
      <c r="A1422" s="12">
        <v>44884</v>
      </c>
      <c r="B1422" s="3">
        <v>96</v>
      </c>
      <c r="C1422" s="3">
        <v>96</v>
      </c>
      <c r="D1422" s="3">
        <f>C1422-B1422</f>
        <v>0</v>
      </c>
    </row>
    <row r="1423" spans="1:4">
      <c r="A1423" s="12">
        <v>44885</v>
      </c>
      <c r="B1423" s="3">
        <v>96</v>
      </c>
      <c r="C1423" s="3">
        <v>96</v>
      </c>
      <c r="D1423" s="3">
        <f>C1423-B1423</f>
        <v>0</v>
      </c>
    </row>
    <row r="1424" spans="1:4">
      <c r="A1424" s="12">
        <v>44886</v>
      </c>
      <c r="B1424" s="3">
        <v>96</v>
      </c>
      <c r="C1424" s="3">
        <v>96</v>
      </c>
      <c r="D1424" s="3">
        <f>C1424-B1424</f>
        <v>0</v>
      </c>
    </row>
    <row r="1425" spans="1:4">
      <c r="A1425" s="12">
        <v>44887</v>
      </c>
      <c r="B1425" s="3">
        <v>96</v>
      </c>
      <c r="C1425" s="3">
        <v>96</v>
      </c>
      <c r="D1425" s="3">
        <f>C1425-B1425</f>
        <v>0</v>
      </c>
    </row>
    <row r="1426" spans="1:4">
      <c r="A1426" s="12">
        <v>44888</v>
      </c>
      <c r="B1426" s="3">
        <v>96</v>
      </c>
      <c r="C1426" s="3">
        <v>96</v>
      </c>
      <c r="D1426" s="3">
        <f>C1426-B1426</f>
        <v>0</v>
      </c>
    </row>
    <row r="1427" spans="1:4">
      <c r="A1427" s="12">
        <v>44889</v>
      </c>
      <c r="B1427" s="3">
        <v>96</v>
      </c>
      <c r="C1427" s="3">
        <v>96</v>
      </c>
      <c r="D1427" s="3">
        <f>C1427-B1427</f>
        <v>0</v>
      </c>
    </row>
    <row r="1428" spans="1:4">
      <c r="A1428" s="12">
        <v>44890</v>
      </c>
      <c r="B1428" s="3">
        <v>96</v>
      </c>
      <c r="C1428" s="3">
        <v>96</v>
      </c>
      <c r="D1428" s="3">
        <f>C1428-B1428</f>
        <v>0</v>
      </c>
    </row>
    <row r="1429" spans="1:4">
      <c r="A1429" s="12">
        <v>44891</v>
      </c>
      <c r="B1429" s="3">
        <v>96</v>
      </c>
      <c r="C1429" s="3">
        <v>96</v>
      </c>
      <c r="D1429" s="3">
        <f>C1429-B1429</f>
        <v>0</v>
      </c>
    </row>
    <row r="1430" spans="1:4">
      <c r="A1430" s="12">
        <v>44892</v>
      </c>
      <c r="B1430" s="3">
        <v>96</v>
      </c>
      <c r="C1430" s="3">
        <v>96</v>
      </c>
      <c r="D1430" s="3">
        <f>C1430-B1430</f>
        <v>0</v>
      </c>
    </row>
    <row r="1431" spans="1:4">
      <c r="A1431" s="12">
        <v>44893</v>
      </c>
      <c r="B1431" s="3">
        <v>96</v>
      </c>
      <c r="C1431" s="3">
        <v>96</v>
      </c>
      <c r="D1431" s="3">
        <f>C1431-B1431</f>
        <v>0</v>
      </c>
    </row>
    <row r="1432" spans="1:4">
      <c r="A1432" s="12">
        <v>44894</v>
      </c>
      <c r="B1432" s="3">
        <v>96</v>
      </c>
      <c r="C1432" s="3">
        <v>96</v>
      </c>
      <c r="D1432" s="3">
        <f>C1432-B1432</f>
        <v>0</v>
      </c>
    </row>
    <row r="1433" spans="1:4">
      <c r="A1433" s="12">
        <v>44895</v>
      </c>
      <c r="B1433" s="3">
        <v>96</v>
      </c>
      <c r="C1433" s="3">
        <v>96</v>
      </c>
      <c r="D1433" s="3">
        <f>C1433-B1433</f>
        <v>0</v>
      </c>
    </row>
    <row r="1434" spans="1:4">
      <c r="A1434" s="12">
        <v>44896</v>
      </c>
      <c r="B1434" s="3">
        <v>96</v>
      </c>
      <c r="C1434" s="3">
        <v>96</v>
      </c>
      <c r="D1434" s="3">
        <f>C1434-B1434</f>
        <v>0</v>
      </c>
    </row>
    <row r="1435" spans="1:4">
      <c r="A1435" s="12">
        <v>44897</v>
      </c>
      <c r="B1435" s="3">
        <v>96</v>
      </c>
      <c r="C1435" s="3">
        <v>96</v>
      </c>
      <c r="D1435" s="3">
        <f>C1435-B1435</f>
        <v>0</v>
      </c>
    </row>
    <row r="1436" spans="1:4">
      <c r="A1436" s="12">
        <v>44898</v>
      </c>
      <c r="B1436" s="3">
        <v>96</v>
      </c>
      <c r="C1436" s="3">
        <v>96</v>
      </c>
      <c r="D1436" s="3">
        <f>C1436-B1436</f>
        <v>0</v>
      </c>
    </row>
    <row r="1437" spans="1:4">
      <c r="A1437" s="12">
        <v>44899</v>
      </c>
      <c r="B1437" s="3">
        <v>96</v>
      </c>
      <c r="C1437" s="3">
        <v>96</v>
      </c>
      <c r="D1437" s="3">
        <f>C1437-B1437</f>
        <v>0</v>
      </c>
    </row>
    <row r="1438" spans="1:4">
      <c r="A1438" s="12">
        <v>44900</v>
      </c>
      <c r="B1438" s="3">
        <v>96</v>
      </c>
      <c r="C1438" s="3">
        <v>96</v>
      </c>
      <c r="D1438" s="3">
        <f>C1438-B1438</f>
        <v>0</v>
      </c>
    </row>
    <row r="1439" spans="1:4">
      <c r="A1439" s="12">
        <v>44901</v>
      </c>
      <c r="B1439" s="3">
        <v>96</v>
      </c>
      <c r="C1439" s="3">
        <v>96</v>
      </c>
      <c r="D1439" s="3">
        <f>C1439-B1439</f>
        <v>0</v>
      </c>
    </row>
    <row r="1440" spans="1:4">
      <c r="A1440" s="12">
        <v>44902</v>
      </c>
      <c r="B1440" s="3">
        <v>96</v>
      </c>
      <c r="C1440" s="3">
        <v>96</v>
      </c>
      <c r="D1440" s="3">
        <f>C1440-B1440</f>
        <v>0</v>
      </c>
    </row>
    <row r="1441" spans="1:4">
      <c r="A1441" s="12">
        <v>44903</v>
      </c>
      <c r="B1441" s="3">
        <v>96</v>
      </c>
      <c r="C1441" s="3">
        <v>96</v>
      </c>
      <c r="D1441" s="3">
        <f>C1441-B1441</f>
        <v>0</v>
      </c>
    </row>
    <row r="1442" spans="1:4">
      <c r="A1442" s="12">
        <v>44904</v>
      </c>
      <c r="B1442" s="3">
        <v>96</v>
      </c>
      <c r="C1442" s="3">
        <v>96</v>
      </c>
      <c r="D1442" s="3">
        <f>C1442-B1442</f>
        <v>0</v>
      </c>
    </row>
    <row r="1443" spans="1:4">
      <c r="A1443" s="12">
        <v>44905</v>
      </c>
      <c r="B1443" s="3">
        <v>96</v>
      </c>
      <c r="C1443" s="3">
        <v>96</v>
      </c>
      <c r="D1443" s="3">
        <f>C1443-B1443</f>
        <v>0</v>
      </c>
    </row>
    <row r="1444" spans="1:4">
      <c r="A1444" s="12">
        <v>44906</v>
      </c>
      <c r="B1444" s="3">
        <v>96</v>
      </c>
      <c r="C1444" s="3">
        <v>96</v>
      </c>
      <c r="D1444" s="3">
        <f>C1444-B1444</f>
        <v>0</v>
      </c>
    </row>
    <row r="1445" spans="1:4">
      <c r="A1445" s="12">
        <v>44907</v>
      </c>
      <c r="B1445" s="3">
        <v>96</v>
      </c>
      <c r="C1445" s="3">
        <v>96</v>
      </c>
      <c r="D1445" s="3">
        <f>C1445-B1445</f>
        <v>0</v>
      </c>
    </row>
    <row r="1446" spans="1:4">
      <c r="A1446" s="12">
        <v>44908</v>
      </c>
      <c r="B1446" s="3">
        <v>96</v>
      </c>
      <c r="C1446" s="3">
        <v>96</v>
      </c>
      <c r="D1446" s="3">
        <f>C1446-B1446</f>
        <v>0</v>
      </c>
    </row>
    <row r="1447" spans="1:4">
      <c r="A1447" s="12">
        <v>44909</v>
      </c>
      <c r="B1447" s="3">
        <v>96</v>
      </c>
      <c r="C1447" s="3">
        <v>96</v>
      </c>
      <c r="D1447" s="3">
        <f>C1447-B1447</f>
        <v>0</v>
      </c>
    </row>
    <row r="1448" spans="1:4">
      <c r="A1448" s="12">
        <v>44910</v>
      </c>
      <c r="B1448" s="3">
        <v>96</v>
      </c>
      <c r="C1448" s="3">
        <v>96</v>
      </c>
      <c r="D1448" s="3">
        <f>C1448-B1448</f>
        <v>0</v>
      </c>
    </row>
    <row r="1449" spans="1:4">
      <c r="A1449" s="12">
        <v>44911</v>
      </c>
      <c r="B1449" s="3">
        <v>96</v>
      </c>
      <c r="C1449" s="3">
        <v>96</v>
      </c>
      <c r="D1449" s="3">
        <f>C1449-B1449</f>
        <v>0</v>
      </c>
    </row>
    <row r="1450" spans="1:4">
      <c r="A1450" s="12">
        <v>44912</v>
      </c>
      <c r="B1450" s="3">
        <v>96</v>
      </c>
      <c r="C1450" s="3">
        <v>96</v>
      </c>
      <c r="D1450" s="3">
        <f>C1450-B1450</f>
        <v>0</v>
      </c>
    </row>
    <row r="1451" spans="1:4">
      <c r="A1451" s="12">
        <v>44913</v>
      </c>
      <c r="B1451" s="3">
        <v>96</v>
      </c>
      <c r="C1451" s="3">
        <v>96</v>
      </c>
      <c r="D1451" s="3">
        <f>C1451-B1451</f>
        <v>0</v>
      </c>
    </row>
    <row r="1452" spans="1:4">
      <c r="A1452" s="12">
        <v>44914</v>
      </c>
      <c r="B1452" s="3">
        <v>96</v>
      </c>
      <c r="C1452" s="3">
        <v>96</v>
      </c>
      <c r="D1452" s="3">
        <f>C1452-B1452</f>
        <v>0</v>
      </c>
    </row>
    <row r="1453" spans="1:4">
      <c r="A1453" s="12">
        <v>44915</v>
      </c>
      <c r="B1453" s="3">
        <v>96</v>
      </c>
      <c r="C1453" s="3">
        <v>96</v>
      </c>
      <c r="D1453" s="3">
        <f>C1453-B1453</f>
        <v>0</v>
      </c>
    </row>
    <row r="1454" spans="1:4">
      <c r="A1454" s="12">
        <v>44916</v>
      </c>
      <c r="B1454" s="3">
        <v>96</v>
      </c>
      <c r="C1454" s="3">
        <v>96</v>
      </c>
      <c r="D1454" s="3">
        <f>C1454-B1454</f>
        <v>0</v>
      </c>
    </row>
    <row r="1455" spans="1:4">
      <c r="A1455" s="12">
        <v>44917</v>
      </c>
      <c r="B1455" s="3">
        <v>96</v>
      </c>
      <c r="C1455" s="3">
        <v>96</v>
      </c>
      <c r="D1455" s="3">
        <f>C1455-B1455</f>
        <v>0</v>
      </c>
    </row>
    <row r="1456" spans="1:4">
      <c r="A1456" s="12">
        <v>44918</v>
      </c>
      <c r="B1456" s="3">
        <v>96</v>
      </c>
      <c r="C1456" s="3">
        <v>96</v>
      </c>
      <c r="D1456" s="3">
        <f>C1456-B1456</f>
        <v>0</v>
      </c>
    </row>
    <row r="1457" spans="1:4">
      <c r="A1457" s="12">
        <v>44919</v>
      </c>
      <c r="B1457" s="3">
        <v>96</v>
      </c>
      <c r="C1457" s="3">
        <v>96</v>
      </c>
      <c r="D1457" s="3">
        <f>C1457-B1457</f>
        <v>0</v>
      </c>
    </row>
    <row r="1458" spans="1:4">
      <c r="A1458" s="12">
        <v>44920</v>
      </c>
      <c r="B1458" s="3">
        <v>96</v>
      </c>
      <c r="C1458" s="3">
        <v>96</v>
      </c>
      <c r="D1458" s="3">
        <f>C1458-B1458</f>
        <v>0</v>
      </c>
    </row>
    <row r="1459" spans="1:4">
      <c r="A1459" s="12">
        <v>44921</v>
      </c>
      <c r="B1459" s="3">
        <v>96</v>
      </c>
      <c r="C1459" s="3">
        <v>96</v>
      </c>
      <c r="D1459" s="3">
        <f>C1459-B1459</f>
        <v>0</v>
      </c>
    </row>
    <row r="1460" spans="1:4">
      <c r="A1460" s="12">
        <v>44922</v>
      </c>
      <c r="B1460" s="3">
        <v>96</v>
      </c>
      <c r="C1460" s="3">
        <v>96</v>
      </c>
      <c r="D1460" s="3">
        <f>C1460-B1460</f>
        <v>0</v>
      </c>
    </row>
    <row r="1461" spans="1:4">
      <c r="A1461" s="12">
        <v>44923</v>
      </c>
      <c r="B1461" s="3">
        <v>96</v>
      </c>
      <c r="C1461" s="3">
        <v>96</v>
      </c>
      <c r="D1461" s="3">
        <f>C1461-B1461</f>
        <v>0</v>
      </c>
    </row>
    <row r="1462" spans="1:4">
      <c r="A1462" s="12">
        <v>44924</v>
      </c>
      <c r="B1462" s="3">
        <v>96</v>
      </c>
      <c r="C1462" s="3">
        <v>96</v>
      </c>
      <c r="D1462" s="3">
        <f>C1462-B1462</f>
        <v>0</v>
      </c>
    </row>
    <row r="1463" spans="1:4">
      <c r="A1463" s="12">
        <v>44925</v>
      </c>
      <c r="B1463" s="3">
        <v>96</v>
      </c>
      <c r="C1463" s="3">
        <v>96</v>
      </c>
      <c r="D1463" s="3">
        <f>C1463-B1463</f>
        <v>0</v>
      </c>
    </row>
    <row r="1464" spans="1:4">
      <c r="A1464" s="12">
        <v>44926</v>
      </c>
      <c r="B1464" s="3">
        <v>96</v>
      </c>
      <c r="C1464" s="3">
        <v>96</v>
      </c>
      <c r="D1464" s="3">
        <f>C1464-B1464</f>
        <v>0</v>
      </c>
    </row>
    <row r="1465" spans="1:4">
      <c r="A1465" s="12">
        <v>44927</v>
      </c>
      <c r="B1465" s="3">
        <v>96</v>
      </c>
      <c r="C1465" s="3">
        <v>96</v>
      </c>
      <c r="D1465" s="3">
        <f>C1465-B1465</f>
        <v>0</v>
      </c>
    </row>
    <row r="1466" spans="1:4">
      <c r="A1466" s="12">
        <v>44928</v>
      </c>
      <c r="B1466" s="3">
        <v>96</v>
      </c>
      <c r="C1466" s="3">
        <v>96</v>
      </c>
      <c r="D1466" s="3">
        <f>C1466-B1466</f>
        <v>0</v>
      </c>
    </row>
    <row r="1467" spans="1:4">
      <c r="A1467" s="12">
        <v>44929</v>
      </c>
      <c r="B1467" s="3">
        <v>96</v>
      </c>
      <c r="C1467" s="3">
        <v>96</v>
      </c>
      <c r="D1467" s="3">
        <f>C1467-B1467</f>
        <v>0</v>
      </c>
    </row>
    <row r="1468" spans="1:4">
      <c r="A1468" s="12">
        <v>44930</v>
      </c>
      <c r="B1468" s="3">
        <v>96</v>
      </c>
      <c r="C1468" s="3">
        <v>96</v>
      </c>
      <c r="D1468" s="3">
        <f>C1468-B1468</f>
        <v>0</v>
      </c>
    </row>
    <row r="1469" spans="1:4">
      <c r="A1469" s="12">
        <v>44931</v>
      </c>
      <c r="B1469" s="3">
        <v>96</v>
      </c>
      <c r="C1469" s="3">
        <v>96</v>
      </c>
      <c r="D1469" s="3">
        <f>C1469-B1469</f>
        <v>0</v>
      </c>
    </row>
    <row r="1470" spans="1:4">
      <c r="A1470" s="12">
        <v>44932</v>
      </c>
      <c r="B1470" s="3">
        <v>96</v>
      </c>
      <c r="C1470" s="3">
        <v>96</v>
      </c>
      <c r="D1470" s="3">
        <f>C1470-B1470</f>
        <v>0</v>
      </c>
    </row>
    <row r="1471" spans="1:4">
      <c r="A1471" s="12">
        <v>44933</v>
      </c>
      <c r="B1471" s="3">
        <v>96</v>
      </c>
      <c r="C1471" s="3">
        <v>96</v>
      </c>
      <c r="D1471" s="3">
        <f>C1471-B1471</f>
        <v>0</v>
      </c>
    </row>
    <row r="1472" spans="1:4">
      <c r="A1472" s="12">
        <v>44934</v>
      </c>
      <c r="B1472" s="3">
        <v>96</v>
      </c>
      <c r="C1472" s="3">
        <v>96</v>
      </c>
      <c r="D1472" s="3">
        <f>C1472-B1472</f>
        <v>0</v>
      </c>
    </row>
    <row r="1473" spans="1:4">
      <c r="A1473" s="12">
        <v>44935</v>
      </c>
      <c r="B1473" s="3">
        <v>96</v>
      </c>
      <c r="C1473" s="3">
        <v>96</v>
      </c>
      <c r="D1473" s="3">
        <f>C1473-B1473</f>
        <v>0</v>
      </c>
    </row>
    <row r="1474" spans="1:4">
      <c r="A1474" s="12">
        <v>44936</v>
      </c>
      <c r="B1474" s="3">
        <v>96</v>
      </c>
      <c r="C1474" s="3">
        <v>96</v>
      </c>
      <c r="D1474" s="3">
        <f>C1474-B1474</f>
        <v>0</v>
      </c>
    </row>
    <row r="1475" spans="1:4">
      <c r="A1475" s="12">
        <v>44937</v>
      </c>
      <c r="B1475" s="3">
        <v>96</v>
      </c>
      <c r="C1475" s="3">
        <v>96</v>
      </c>
      <c r="D1475" s="3">
        <f>C1475-B1475</f>
        <v>0</v>
      </c>
    </row>
    <row r="1476" spans="1:4">
      <c r="A1476" s="12">
        <v>44938</v>
      </c>
      <c r="B1476" s="3">
        <v>96</v>
      </c>
      <c r="C1476" s="3">
        <v>96</v>
      </c>
      <c r="D1476" s="3">
        <f>C1476-B1476</f>
        <v>0</v>
      </c>
    </row>
    <row r="1477" spans="1:4">
      <c r="A1477" s="12">
        <v>44939</v>
      </c>
      <c r="B1477" s="3">
        <v>96</v>
      </c>
      <c r="C1477" s="3">
        <v>96</v>
      </c>
      <c r="D1477" s="3">
        <f>C1477-B1477</f>
        <v>0</v>
      </c>
    </row>
    <row r="1478" spans="1:4">
      <c r="A1478" s="12">
        <v>44940</v>
      </c>
      <c r="B1478" s="3">
        <v>96</v>
      </c>
      <c r="C1478" s="3">
        <v>96</v>
      </c>
      <c r="D1478" s="3">
        <f>C1478-B1478</f>
        <v>0</v>
      </c>
    </row>
    <row r="1479" spans="1:4">
      <c r="A1479" s="12">
        <v>44941</v>
      </c>
      <c r="B1479" s="3">
        <v>96</v>
      </c>
      <c r="C1479" s="3">
        <v>96</v>
      </c>
      <c r="D1479" s="3">
        <f>C1479-B1479</f>
        <v>0</v>
      </c>
    </row>
    <row r="1480" spans="1:4">
      <c r="A1480" s="12">
        <v>44942</v>
      </c>
      <c r="B1480" s="3">
        <v>96</v>
      </c>
      <c r="C1480" s="3">
        <v>96</v>
      </c>
      <c r="D1480" s="3">
        <f>C1480-B1480</f>
        <v>0</v>
      </c>
    </row>
    <row r="1481" spans="1:4">
      <c r="A1481" s="12">
        <v>44943</v>
      </c>
      <c r="B1481" s="3">
        <v>96</v>
      </c>
      <c r="C1481" s="3">
        <v>96</v>
      </c>
      <c r="D1481" s="3">
        <f>C1481-B1481</f>
        <v>0</v>
      </c>
    </row>
    <row r="1482" spans="1:4">
      <c r="A1482" s="12">
        <v>44944</v>
      </c>
      <c r="B1482" s="3">
        <v>96</v>
      </c>
      <c r="C1482" s="3">
        <v>96</v>
      </c>
      <c r="D1482" s="3">
        <f>C1482-B1482</f>
        <v>0</v>
      </c>
    </row>
    <row r="1483" spans="1:4">
      <c r="A1483" s="12">
        <v>44945</v>
      </c>
      <c r="B1483" s="3">
        <v>96</v>
      </c>
      <c r="C1483" s="3">
        <v>96</v>
      </c>
      <c r="D1483" s="3">
        <f>C1483-B1483</f>
        <v>0</v>
      </c>
    </row>
    <row r="1484" spans="1:4">
      <c r="A1484" s="12">
        <v>44946</v>
      </c>
      <c r="B1484" s="3">
        <v>96</v>
      </c>
      <c r="C1484" s="3">
        <v>96</v>
      </c>
      <c r="D1484" s="3">
        <f>C1484-B1484</f>
        <v>0</v>
      </c>
    </row>
    <row r="1485" spans="1:4">
      <c r="A1485" s="12">
        <v>44947</v>
      </c>
      <c r="B1485" s="3">
        <v>96</v>
      </c>
      <c r="C1485" s="3">
        <v>96</v>
      </c>
      <c r="D1485" s="3">
        <f>C1485-B1485</f>
        <v>0</v>
      </c>
    </row>
    <row r="1486" spans="1:4">
      <c r="A1486" s="12">
        <v>44948</v>
      </c>
      <c r="B1486" s="3">
        <v>96</v>
      </c>
      <c r="C1486" s="3">
        <v>96</v>
      </c>
      <c r="D1486" s="3">
        <f>C1486-B1486</f>
        <v>0</v>
      </c>
    </row>
    <row r="1487" spans="1:4">
      <c r="A1487" s="12">
        <v>44949</v>
      </c>
      <c r="B1487" s="3">
        <v>96</v>
      </c>
      <c r="C1487" s="3">
        <v>96</v>
      </c>
      <c r="D1487" s="3">
        <f>C1487-B1487</f>
        <v>0</v>
      </c>
    </row>
    <row r="1488" spans="1:4">
      <c r="A1488" s="12">
        <v>44950</v>
      </c>
      <c r="B1488" s="3">
        <v>96</v>
      </c>
      <c r="C1488" s="3">
        <v>96</v>
      </c>
      <c r="D1488" s="3">
        <f>C1488-B1488</f>
        <v>0</v>
      </c>
    </row>
    <row r="1489" spans="1:4">
      <c r="A1489" s="12">
        <v>44951</v>
      </c>
      <c r="B1489" s="3">
        <v>96</v>
      </c>
      <c r="C1489" s="3">
        <v>96</v>
      </c>
      <c r="D1489" s="3">
        <f>C1489-B1489</f>
        <v>0</v>
      </c>
    </row>
    <row r="1490" spans="1:4">
      <c r="A1490" s="12">
        <v>44952</v>
      </c>
      <c r="B1490" s="3">
        <v>96</v>
      </c>
      <c r="C1490" s="3">
        <v>96</v>
      </c>
      <c r="D1490" s="3">
        <f>C1490-B1490</f>
        <v>0</v>
      </c>
    </row>
    <row r="1491" spans="1:4">
      <c r="A1491" s="12">
        <v>44953</v>
      </c>
      <c r="B1491" s="3">
        <v>96</v>
      </c>
      <c r="C1491" s="3">
        <v>96</v>
      </c>
      <c r="D1491" s="3">
        <f>C1491-B1491</f>
        <v>0</v>
      </c>
    </row>
    <row r="1492" spans="1:4">
      <c r="A1492" s="12">
        <v>44954</v>
      </c>
      <c r="B1492" s="3">
        <v>96</v>
      </c>
      <c r="C1492" s="3">
        <v>96</v>
      </c>
      <c r="D1492" s="3">
        <f>C1492-B1492</f>
        <v>0</v>
      </c>
    </row>
    <row r="1493" spans="1:4">
      <c r="A1493" s="12">
        <v>44955</v>
      </c>
      <c r="B1493" s="3">
        <v>96</v>
      </c>
      <c r="C1493" s="3">
        <v>96</v>
      </c>
      <c r="D1493" s="3">
        <f>C1493-B1493</f>
        <v>0</v>
      </c>
    </row>
    <row r="1494" spans="1:4">
      <c r="A1494" s="12">
        <v>44956</v>
      </c>
      <c r="B1494" s="3">
        <v>96</v>
      </c>
      <c r="C1494" s="3">
        <v>96</v>
      </c>
      <c r="D1494" s="3">
        <f>C1494-B1494</f>
        <v>0</v>
      </c>
    </row>
    <row r="1495" spans="1:4">
      <c r="A1495" s="12">
        <v>44957</v>
      </c>
      <c r="B1495" s="3">
        <v>96</v>
      </c>
      <c r="C1495" s="3">
        <v>96</v>
      </c>
      <c r="D1495" s="3">
        <f>C1495-B1495</f>
        <v>0</v>
      </c>
    </row>
    <row r="1496" spans="1:4">
      <c r="A1496" s="12">
        <v>44958</v>
      </c>
      <c r="B1496" s="3">
        <v>96</v>
      </c>
      <c r="C1496" s="3">
        <v>96</v>
      </c>
      <c r="D1496" s="3">
        <f>C1496-B1496</f>
        <v>0</v>
      </c>
    </row>
    <row r="1497" spans="1:4">
      <c r="A1497" s="12">
        <v>44959</v>
      </c>
      <c r="B1497" s="3">
        <v>96</v>
      </c>
      <c r="C1497" s="3">
        <v>96</v>
      </c>
      <c r="D1497" s="3">
        <f>C1497-B1497</f>
        <v>0</v>
      </c>
    </row>
    <row r="1498" spans="1:4">
      <c r="A1498" s="12">
        <v>44960</v>
      </c>
      <c r="B1498" s="3">
        <v>96</v>
      </c>
      <c r="C1498" s="3">
        <v>96</v>
      </c>
      <c r="D1498" s="3">
        <f>C1498-B1498</f>
        <v>0</v>
      </c>
    </row>
    <row r="1499" spans="1:4">
      <c r="A1499" s="12">
        <v>44961</v>
      </c>
      <c r="B1499" s="3">
        <v>96</v>
      </c>
      <c r="C1499" s="3">
        <v>96</v>
      </c>
      <c r="D1499" s="3">
        <f>C1499-B1499</f>
        <v>0</v>
      </c>
    </row>
    <row r="1500" spans="1:4">
      <c r="A1500" s="12">
        <v>44962</v>
      </c>
      <c r="B1500" s="3">
        <v>96</v>
      </c>
      <c r="C1500" s="3">
        <v>96</v>
      </c>
      <c r="D1500" s="3">
        <f>C1500-B1500</f>
        <v>0</v>
      </c>
    </row>
    <row r="1501" spans="1:4">
      <c r="A1501" s="12">
        <v>44963</v>
      </c>
      <c r="B1501" s="3">
        <v>96</v>
      </c>
      <c r="C1501" s="3">
        <v>96</v>
      </c>
      <c r="D1501" s="3">
        <f>C1501-B1501</f>
        <v>0</v>
      </c>
    </row>
    <row r="1502" spans="1:4">
      <c r="A1502" s="12">
        <v>44964</v>
      </c>
      <c r="B1502" s="3">
        <v>96</v>
      </c>
      <c r="C1502" s="3">
        <v>96</v>
      </c>
      <c r="D1502" s="3">
        <f>C1502-B1502</f>
        <v>0</v>
      </c>
    </row>
    <row r="1503" spans="1:4">
      <c r="A1503" s="12">
        <v>44965</v>
      </c>
      <c r="B1503" s="3">
        <v>96</v>
      </c>
      <c r="C1503" s="3">
        <v>96</v>
      </c>
      <c r="D1503" s="3">
        <f>C1503-B1503</f>
        <v>0</v>
      </c>
    </row>
    <row r="1504" spans="1:4">
      <c r="A1504" s="12">
        <v>44966</v>
      </c>
      <c r="B1504" s="3">
        <v>96</v>
      </c>
      <c r="C1504" s="3">
        <v>96</v>
      </c>
      <c r="D1504" s="3">
        <f>C1504-B1504</f>
        <v>0</v>
      </c>
    </row>
    <row r="1505" spans="1:4">
      <c r="A1505" s="12">
        <v>44967</v>
      </c>
      <c r="B1505" s="3">
        <v>96</v>
      </c>
      <c r="C1505" s="3">
        <v>96</v>
      </c>
      <c r="D1505" s="3">
        <f>C1505-B1505</f>
        <v>0</v>
      </c>
    </row>
    <row r="1506" spans="1:4">
      <c r="A1506" s="12">
        <v>44968</v>
      </c>
      <c r="B1506" s="3">
        <v>96</v>
      </c>
      <c r="C1506" s="3">
        <v>96</v>
      </c>
      <c r="D1506" s="3">
        <f>C1506-B1506</f>
        <v>0</v>
      </c>
    </row>
    <row r="1507" spans="1:4">
      <c r="A1507" s="12">
        <v>44969</v>
      </c>
      <c r="B1507" s="3">
        <v>96</v>
      </c>
      <c r="C1507" s="3">
        <v>96</v>
      </c>
      <c r="D1507" s="3">
        <f>C1507-B1507</f>
        <v>0</v>
      </c>
    </row>
    <row r="1508" spans="1:4">
      <c r="A1508" s="12">
        <v>44970</v>
      </c>
      <c r="B1508" s="3">
        <v>96</v>
      </c>
      <c r="C1508" s="3">
        <v>96</v>
      </c>
      <c r="D1508" s="3">
        <f>C1508-B1508</f>
        <v>0</v>
      </c>
    </row>
    <row r="1509" spans="1:4">
      <c r="A1509" s="12">
        <v>44971</v>
      </c>
      <c r="B1509" s="3">
        <v>96</v>
      </c>
      <c r="C1509" s="3">
        <v>96</v>
      </c>
      <c r="D1509" s="3">
        <f>C1509-B1509</f>
        <v>0</v>
      </c>
    </row>
    <row r="1510" spans="1:4">
      <c r="A1510" s="12">
        <v>44972</v>
      </c>
      <c r="B1510" s="3">
        <v>96</v>
      </c>
      <c r="C1510" s="3">
        <v>96</v>
      </c>
      <c r="D1510" s="3">
        <f>C1510-B1510</f>
        <v>0</v>
      </c>
    </row>
    <row r="1511" spans="1:4">
      <c r="A1511" s="12">
        <v>44973</v>
      </c>
      <c r="B1511" s="3">
        <v>96</v>
      </c>
      <c r="C1511" s="3">
        <v>96</v>
      </c>
      <c r="D1511" s="3">
        <f>C1511-B1511</f>
        <v>0</v>
      </c>
    </row>
    <row r="1512" spans="1:4">
      <c r="A1512" s="12">
        <v>44974</v>
      </c>
      <c r="B1512" s="3">
        <v>96</v>
      </c>
      <c r="C1512" s="3">
        <v>96</v>
      </c>
      <c r="D1512" s="3">
        <f>C1512-B1512</f>
        <v>0</v>
      </c>
    </row>
    <row r="1513" spans="1:4">
      <c r="A1513" s="12">
        <v>44975</v>
      </c>
      <c r="B1513" s="3">
        <v>96</v>
      </c>
      <c r="C1513" s="3">
        <v>96</v>
      </c>
      <c r="D1513" s="3">
        <f>C1513-B1513</f>
        <v>0</v>
      </c>
    </row>
    <row r="1514" spans="1:4">
      <c r="A1514" s="12">
        <v>44976</v>
      </c>
      <c r="B1514" s="3">
        <v>96</v>
      </c>
      <c r="C1514" s="3">
        <v>96</v>
      </c>
      <c r="D1514" s="3">
        <f>C1514-B1514</f>
        <v>0</v>
      </c>
    </row>
    <row r="1515" spans="1:4">
      <c r="A1515" s="12">
        <v>44977</v>
      </c>
      <c r="B1515" s="3">
        <v>96</v>
      </c>
      <c r="C1515" s="3">
        <v>96</v>
      </c>
      <c r="D1515" s="3">
        <f>C1515-B1515</f>
        <v>0</v>
      </c>
    </row>
    <row r="1516" spans="1:4">
      <c r="A1516" s="12">
        <v>44978</v>
      </c>
      <c r="B1516" s="3">
        <v>96</v>
      </c>
      <c r="C1516" s="3">
        <v>96</v>
      </c>
      <c r="D1516" s="3">
        <f>C1516-B1516</f>
        <v>0</v>
      </c>
    </row>
    <row r="1517" spans="1:4">
      <c r="A1517" s="12">
        <v>44979</v>
      </c>
      <c r="B1517" s="3">
        <v>96</v>
      </c>
      <c r="C1517" s="3">
        <v>96</v>
      </c>
      <c r="D1517" s="3">
        <f>C1517-B1517</f>
        <v>0</v>
      </c>
    </row>
    <row r="1518" spans="1:4">
      <c r="A1518" s="12">
        <v>44980</v>
      </c>
      <c r="B1518" s="3">
        <v>96</v>
      </c>
      <c r="C1518" s="3">
        <v>96</v>
      </c>
      <c r="D1518" s="3">
        <f>C1518-B1518</f>
        <v>0</v>
      </c>
    </row>
    <row r="1519" spans="1:4">
      <c r="A1519" s="12">
        <v>44981</v>
      </c>
      <c r="B1519" s="3">
        <v>96</v>
      </c>
      <c r="C1519" s="3">
        <v>96</v>
      </c>
      <c r="D1519" s="3">
        <f>C1519-B1519</f>
        <v>0</v>
      </c>
    </row>
    <row r="1520" spans="1:4">
      <c r="A1520" s="12">
        <v>44982</v>
      </c>
      <c r="B1520" s="3">
        <v>96</v>
      </c>
      <c r="C1520" s="3">
        <v>96</v>
      </c>
      <c r="D1520" s="3">
        <f>C1520-B1520</f>
        <v>0</v>
      </c>
    </row>
    <row r="1521" spans="1:4">
      <c r="A1521" s="12">
        <v>44983</v>
      </c>
      <c r="B1521" s="3">
        <v>96</v>
      </c>
      <c r="C1521" s="3">
        <v>96</v>
      </c>
      <c r="D1521" s="3">
        <f>C1521-B1521</f>
        <v>0</v>
      </c>
    </row>
    <row r="1522" spans="1:4">
      <c r="A1522" s="12">
        <v>44984</v>
      </c>
      <c r="B1522" s="3">
        <v>96</v>
      </c>
      <c r="C1522" s="3">
        <v>96</v>
      </c>
      <c r="D1522" s="3">
        <f>C1522-B1522</f>
        <v>0</v>
      </c>
    </row>
    <row r="1523" spans="1:4">
      <c r="A1523" s="12">
        <v>44985</v>
      </c>
      <c r="B1523" s="3">
        <v>96</v>
      </c>
      <c r="C1523" s="3">
        <v>96</v>
      </c>
      <c r="D1523" s="3">
        <f>C1523-B1523</f>
        <v>0</v>
      </c>
    </row>
    <row r="1524" spans="1:4">
      <c r="A1524" s="12">
        <v>44986</v>
      </c>
      <c r="B1524" s="3">
        <v>96</v>
      </c>
      <c r="C1524" s="3">
        <v>96</v>
      </c>
      <c r="D1524" s="3">
        <f>C1524-B1524</f>
        <v>0</v>
      </c>
    </row>
    <row r="1525" spans="1:4">
      <c r="A1525" s="12">
        <v>44987</v>
      </c>
      <c r="B1525" s="3">
        <v>96</v>
      </c>
      <c r="C1525" s="3">
        <v>96</v>
      </c>
      <c r="D1525" s="3">
        <f>C1525-B1525</f>
        <v>0</v>
      </c>
    </row>
    <row r="1526" spans="1:4">
      <c r="A1526" s="12">
        <v>44988</v>
      </c>
      <c r="B1526" s="3">
        <v>96</v>
      </c>
      <c r="C1526" s="3">
        <v>96</v>
      </c>
      <c r="D1526" s="3">
        <f>C1526-B1526</f>
        <v>0</v>
      </c>
    </row>
    <row r="1527" spans="1:4">
      <c r="A1527" s="12">
        <v>44989</v>
      </c>
      <c r="B1527" s="3">
        <v>96</v>
      </c>
      <c r="C1527" s="3">
        <v>96</v>
      </c>
      <c r="D1527" s="3">
        <f>C1527-B1527</f>
        <v>0</v>
      </c>
    </row>
    <row r="1528" spans="1:4">
      <c r="A1528" s="12">
        <v>44990</v>
      </c>
      <c r="B1528" s="3">
        <v>96</v>
      </c>
      <c r="C1528" s="3">
        <v>96</v>
      </c>
      <c r="D1528" s="3">
        <f>C1528-B1528</f>
        <v>0</v>
      </c>
    </row>
    <row r="1529" spans="1:4">
      <c r="A1529" s="12">
        <v>44991</v>
      </c>
      <c r="B1529" s="3">
        <v>96</v>
      </c>
      <c r="C1529" s="3">
        <v>96</v>
      </c>
      <c r="D1529" s="3">
        <f>C1529-B1529</f>
        <v>0</v>
      </c>
    </row>
    <row r="1530" spans="1:4">
      <c r="A1530" s="12">
        <v>44992</v>
      </c>
      <c r="B1530" s="3">
        <v>96</v>
      </c>
      <c r="C1530" s="3">
        <v>96</v>
      </c>
      <c r="D1530" s="3">
        <f>C1530-B1530</f>
        <v>0</v>
      </c>
    </row>
    <row r="1531" spans="1:4">
      <c r="A1531" s="12">
        <v>44993</v>
      </c>
      <c r="B1531" s="3">
        <v>96</v>
      </c>
      <c r="C1531" s="3">
        <v>96</v>
      </c>
      <c r="D1531" s="3">
        <f>C1531-B1531</f>
        <v>0</v>
      </c>
    </row>
    <row r="1532" spans="1:4">
      <c r="A1532" s="12">
        <v>44994</v>
      </c>
      <c r="B1532" s="3">
        <v>96</v>
      </c>
      <c r="C1532" s="3">
        <v>96</v>
      </c>
      <c r="D1532" s="3">
        <f>C1532-B1532</f>
        <v>0</v>
      </c>
    </row>
    <row r="1533" spans="1:4">
      <c r="A1533" s="12">
        <v>44995</v>
      </c>
      <c r="B1533" s="3">
        <v>96</v>
      </c>
      <c r="C1533" s="3">
        <v>96</v>
      </c>
      <c r="D1533" s="3">
        <f>C1533-B1533</f>
        <v>0</v>
      </c>
    </row>
    <row r="1534" spans="1:4">
      <c r="A1534" s="12">
        <v>44996</v>
      </c>
      <c r="B1534" s="3">
        <v>96</v>
      </c>
      <c r="C1534" s="3">
        <v>96</v>
      </c>
      <c r="D1534" s="3">
        <f>C1534-B1534</f>
        <v>0</v>
      </c>
    </row>
    <row r="1535" spans="1:4">
      <c r="A1535" s="12">
        <v>44997</v>
      </c>
      <c r="B1535" s="3">
        <v>96</v>
      </c>
      <c r="C1535" s="3">
        <v>96</v>
      </c>
      <c r="D1535" s="3">
        <f>C1535-B1535</f>
        <v>0</v>
      </c>
    </row>
    <row r="1536" spans="1:4">
      <c r="A1536" s="12">
        <v>44998</v>
      </c>
      <c r="B1536" s="3">
        <v>96</v>
      </c>
      <c r="C1536" s="3">
        <v>96</v>
      </c>
      <c r="D1536" s="3">
        <f>C1536-B1536</f>
        <v>0</v>
      </c>
    </row>
    <row r="1537" spans="1:4">
      <c r="A1537" s="12">
        <v>44999</v>
      </c>
      <c r="B1537" s="3">
        <v>96</v>
      </c>
      <c r="C1537" s="3">
        <v>96</v>
      </c>
      <c r="D1537" s="3">
        <f>C1537-B1537</f>
        <v>0</v>
      </c>
    </row>
    <row r="1538" spans="1:4">
      <c r="A1538" s="12">
        <v>45000</v>
      </c>
      <c r="B1538" s="3">
        <v>96</v>
      </c>
      <c r="C1538" s="3">
        <v>96</v>
      </c>
      <c r="D1538" s="3">
        <f>C1538-B1538</f>
        <v>0</v>
      </c>
    </row>
    <row r="1539" spans="1:4">
      <c r="A1539" s="12">
        <v>45001</v>
      </c>
      <c r="B1539" s="3">
        <v>96</v>
      </c>
      <c r="C1539" s="3">
        <v>96</v>
      </c>
      <c r="D1539" s="3">
        <f>C1539-B1539</f>
        <v>0</v>
      </c>
    </row>
    <row r="1540" spans="1:4">
      <c r="A1540" s="12">
        <v>45002</v>
      </c>
      <c r="B1540" s="3">
        <v>96</v>
      </c>
      <c r="C1540" s="3">
        <v>96</v>
      </c>
      <c r="D1540" s="3">
        <f>C1540-B1540</f>
        <v>0</v>
      </c>
    </row>
    <row r="1541" spans="1:4">
      <c r="A1541" s="12">
        <v>45003</v>
      </c>
      <c r="B1541" s="3">
        <v>96</v>
      </c>
      <c r="C1541" s="3">
        <v>96</v>
      </c>
      <c r="D1541" s="3">
        <f>C1541-B1541</f>
        <v>0</v>
      </c>
    </row>
    <row r="1542" spans="1:4">
      <c r="A1542" s="12">
        <v>45004</v>
      </c>
      <c r="B1542" s="3">
        <v>96</v>
      </c>
      <c r="C1542" s="3">
        <v>96</v>
      </c>
      <c r="D1542" s="3">
        <f>C1542-B1542</f>
        <v>0</v>
      </c>
    </row>
    <row r="1543" spans="1:4">
      <c r="A1543" s="12">
        <v>45005</v>
      </c>
      <c r="B1543" s="3">
        <v>96</v>
      </c>
      <c r="C1543" s="3">
        <v>96</v>
      </c>
      <c r="D1543" s="3">
        <f>C1543-B1543</f>
        <v>0</v>
      </c>
    </row>
    <row r="1544" spans="1:4">
      <c r="A1544" s="12">
        <v>45006</v>
      </c>
      <c r="B1544" s="3">
        <v>96</v>
      </c>
      <c r="C1544" s="3">
        <v>96</v>
      </c>
      <c r="D1544" s="3">
        <f>C1544-B1544</f>
        <v>0</v>
      </c>
    </row>
    <row r="1545" spans="1:4">
      <c r="A1545" s="12">
        <v>45007</v>
      </c>
      <c r="B1545" s="3">
        <v>96</v>
      </c>
      <c r="C1545" s="3">
        <v>96</v>
      </c>
      <c r="D1545" s="3">
        <f>C1545-B1545</f>
        <v>0</v>
      </c>
    </row>
    <row r="1546" spans="1:4">
      <c r="A1546" s="12">
        <v>45008</v>
      </c>
      <c r="B1546" s="3">
        <v>96</v>
      </c>
      <c r="C1546" s="3">
        <v>96</v>
      </c>
      <c r="D1546" s="3">
        <f>C1546-B1546</f>
        <v>0</v>
      </c>
    </row>
    <row r="1547" spans="1:4">
      <c r="A1547" s="12">
        <v>45009</v>
      </c>
      <c r="B1547" s="3">
        <v>96</v>
      </c>
      <c r="C1547" s="3">
        <v>96</v>
      </c>
      <c r="D1547" s="3">
        <f>C1547-B1547</f>
        <v>0</v>
      </c>
    </row>
    <row r="1548" spans="1:4">
      <c r="A1548" s="12">
        <v>45010</v>
      </c>
      <c r="B1548" s="3">
        <v>96</v>
      </c>
      <c r="C1548" s="3">
        <v>96</v>
      </c>
      <c r="D1548" s="3">
        <f>C1548-B1548</f>
        <v>0</v>
      </c>
    </row>
    <row r="1549" spans="1:4">
      <c r="A1549" s="12">
        <v>45011</v>
      </c>
      <c r="B1549" s="3">
        <v>92</v>
      </c>
      <c r="C1549" s="3">
        <v>92</v>
      </c>
      <c r="D1549" s="3">
        <f>C1549-B1549</f>
        <v>0</v>
      </c>
    </row>
    <row r="1550" spans="1:4">
      <c r="A1550" s="12">
        <v>45012</v>
      </c>
      <c r="B1550" s="3">
        <v>96</v>
      </c>
      <c r="C1550" s="3">
        <v>96</v>
      </c>
      <c r="D1550" s="3">
        <f>C1550-B1550</f>
        <v>0</v>
      </c>
    </row>
    <row r="1551" spans="1:4">
      <c r="A1551" s="12">
        <v>45013</v>
      </c>
      <c r="B1551" s="3">
        <v>96</v>
      </c>
      <c r="C1551" s="3">
        <v>96</v>
      </c>
      <c r="D1551" s="3">
        <f>C1551-B1551</f>
        <v>0</v>
      </c>
    </row>
    <row r="1552" spans="1:4">
      <c r="A1552" s="12">
        <v>45014</v>
      </c>
      <c r="B1552" s="3">
        <v>96</v>
      </c>
      <c r="C1552" s="3">
        <v>96</v>
      </c>
      <c r="D1552" s="3">
        <f>C1552-B1552</f>
        <v>0</v>
      </c>
    </row>
    <row r="1553" spans="1:4">
      <c r="A1553" s="12">
        <v>45015</v>
      </c>
      <c r="B1553" s="3">
        <v>96</v>
      </c>
      <c r="C1553" s="3">
        <v>96</v>
      </c>
      <c r="D1553" s="3">
        <f>C1553-B1553</f>
        <v>0</v>
      </c>
    </row>
    <row r="1554" spans="1:4">
      <c r="A1554" s="12">
        <v>45016</v>
      </c>
      <c r="B1554" s="3">
        <v>96</v>
      </c>
      <c r="C1554" s="3">
        <v>96</v>
      </c>
      <c r="D1554" s="3">
        <f>C1554-B1554</f>
        <v>0</v>
      </c>
    </row>
    <row r="1555" spans="1:4">
      <c r="A1555" s="12">
        <v>45017</v>
      </c>
      <c r="B1555" s="3">
        <v>96</v>
      </c>
      <c r="C1555" s="3">
        <v>96</v>
      </c>
      <c r="D1555" s="3">
        <f>C1555-B1555</f>
        <v>0</v>
      </c>
    </row>
    <row r="1556" spans="1:4">
      <c r="A1556" s="12">
        <v>45018</v>
      </c>
      <c r="B1556" s="3">
        <v>96</v>
      </c>
      <c r="C1556" s="3">
        <v>96</v>
      </c>
      <c r="D1556" s="3">
        <f>C1556-B1556</f>
        <v>0</v>
      </c>
    </row>
    <row r="1557" spans="1:4">
      <c r="A1557" s="12">
        <v>45019</v>
      </c>
      <c r="B1557" s="3">
        <v>96</v>
      </c>
      <c r="C1557" s="3">
        <v>96</v>
      </c>
      <c r="D1557" s="3">
        <f>C1557-B1557</f>
        <v>0</v>
      </c>
    </row>
    <row r="1558" spans="1:4">
      <c r="A1558" s="12">
        <v>45020</v>
      </c>
      <c r="B1558" s="3">
        <v>96</v>
      </c>
      <c r="C1558" s="3">
        <v>96</v>
      </c>
      <c r="D1558" s="3">
        <f>C1558-B1558</f>
        <v>0</v>
      </c>
    </row>
    <row r="1559" spans="1:4">
      <c r="A1559" s="12">
        <v>45021</v>
      </c>
      <c r="B1559" s="3">
        <v>96</v>
      </c>
      <c r="C1559" s="3">
        <v>96</v>
      </c>
      <c r="D1559" s="3">
        <f>C1559-B1559</f>
        <v>0</v>
      </c>
    </row>
    <row r="1560" spans="1:4">
      <c r="A1560" s="12">
        <v>45022</v>
      </c>
      <c r="B1560" s="3">
        <v>96</v>
      </c>
      <c r="C1560" s="3">
        <v>96</v>
      </c>
      <c r="D1560" s="3">
        <f>C1560-B1560</f>
        <v>0</v>
      </c>
    </row>
    <row r="1561" spans="1:4">
      <c r="A1561" s="12">
        <v>45023</v>
      </c>
      <c r="B1561" s="3">
        <v>96</v>
      </c>
      <c r="C1561" s="3">
        <v>96</v>
      </c>
      <c r="D1561" s="3">
        <f>C1561-B1561</f>
        <v>0</v>
      </c>
    </row>
    <row r="1562" spans="1:4">
      <c r="A1562" s="12">
        <v>45024</v>
      </c>
      <c r="B1562" s="3">
        <v>96</v>
      </c>
      <c r="C1562" s="3">
        <v>96</v>
      </c>
      <c r="D1562" s="3">
        <f>C1562-B1562</f>
        <v>0</v>
      </c>
    </row>
    <row r="1563" spans="1:4">
      <c r="A1563" s="12">
        <v>45025</v>
      </c>
      <c r="B1563" s="3">
        <v>96</v>
      </c>
      <c r="C1563" s="3">
        <v>96</v>
      </c>
      <c r="D1563" s="3">
        <f>C1563-B1563</f>
        <v>0</v>
      </c>
    </row>
    <row r="1564" spans="1:4">
      <c r="A1564" s="12">
        <v>45026</v>
      </c>
      <c r="B1564" s="3">
        <v>96</v>
      </c>
      <c r="C1564" s="3">
        <v>96</v>
      </c>
      <c r="D1564" s="3">
        <f>C1564-B1564</f>
        <v>0</v>
      </c>
    </row>
    <row r="1565" spans="1:4">
      <c r="A1565" s="12">
        <v>45027</v>
      </c>
      <c r="B1565" s="3">
        <v>96</v>
      </c>
      <c r="C1565" s="3">
        <v>96</v>
      </c>
      <c r="D1565" s="3">
        <f>C1565-B1565</f>
        <v>0</v>
      </c>
    </row>
    <row r="1566" spans="1:4">
      <c r="A1566" s="12">
        <v>45028</v>
      </c>
      <c r="B1566" s="3">
        <v>96</v>
      </c>
      <c r="C1566" s="3">
        <v>96</v>
      </c>
      <c r="D1566" s="3">
        <f>C1566-B1566</f>
        <v>0</v>
      </c>
    </row>
    <row r="1567" spans="1:4">
      <c r="A1567" s="12">
        <v>45029</v>
      </c>
      <c r="B1567" s="3">
        <v>96</v>
      </c>
      <c r="C1567" s="3">
        <v>96</v>
      </c>
      <c r="D1567" s="3">
        <f>C1567-B1567</f>
        <v>0</v>
      </c>
    </row>
    <row r="1568" spans="1:4">
      <c r="A1568" s="12">
        <v>45030</v>
      </c>
      <c r="B1568" s="3">
        <v>96</v>
      </c>
      <c r="C1568" s="3">
        <v>96</v>
      </c>
      <c r="D1568" s="3">
        <f>C1568-B1568</f>
        <v>0</v>
      </c>
    </row>
    <row r="1569" spans="1:4">
      <c r="A1569" s="12">
        <v>45031</v>
      </c>
      <c r="B1569" s="3">
        <v>96</v>
      </c>
      <c r="C1569" s="3">
        <v>96</v>
      </c>
      <c r="D1569" s="3">
        <f>C1569-B1569</f>
        <v>0</v>
      </c>
    </row>
    <row r="1570" spans="1:4">
      <c r="A1570" s="12">
        <v>45032</v>
      </c>
      <c r="B1570" s="3">
        <v>96</v>
      </c>
      <c r="C1570" s="3">
        <v>96</v>
      </c>
      <c r="D1570" s="3">
        <f>C1570-B1570</f>
        <v>0</v>
      </c>
    </row>
    <row r="1571" spans="1:4">
      <c r="A1571" s="12">
        <v>45033</v>
      </c>
      <c r="B1571" s="3">
        <v>96</v>
      </c>
      <c r="C1571" s="3">
        <v>96</v>
      </c>
      <c r="D1571" s="3">
        <f>C1571-B1571</f>
        <v>0</v>
      </c>
    </row>
    <row r="1572" spans="1:4">
      <c r="A1572" s="12">
        <v>45034</v>
      </c>
      <c r="B1572" s="3">
        <v>96</v>
      </c>
      <c r="C1572" s="3">
        <v>96</v>
      </c>
      <c r="D1572" s="3">
        <f>C1572-B1572</f>
        <v>0</v>
      </c>
    </row>
    <row r="1573" spans="1:4">
      <c r="A1573" s="12">
        <v>45035</v>
      </c>
      <c r="B1573" s="3">
        <v>96</v>
      </c>
      <c r="C1573" s="3">
        <v>96</v>
      </c>
      <c r="D1573" s="3">
        <f>C1573-B1573</f>
        <v>0</v>
      </c>
    </row>
    <row r="1574" spans="1:4">
      <c r="A1574" s="12">
        <v>45036</v>
      </c>
      <c r="B1574" s="3">
        <v>96</v>
      </c>
      <c r="C1574" s="3">
        <v>96</v>
      </c>
      <c r="D1574" s="3">
        <f>C1574-B1574</f>
        <v>0</v>
      </c>
    </row>
    <row r="1575" spans="1:4">
      <c r="A1575" s="12">
        <v>45037</v>
      </c>
      <c r="B1575" s="3">
        <v>96</v>
      </c>
      <c r="C1575" s="3">
        <v>96</v>
      </c>
      <c r="D1575" s="3">
        <f>C1575-B1575</f>
        <v>0</v>
      </c>
    </row>
    <row r="1576" spans="1:4">
      <c r="A1576" s="12">
        <v>45038</v>
      </c>
      <c r="B1576" s="3">
        <v>96</v>
      </c>
      <c r="C1576" s="3">
        <v>96</v>
      </c>
      <c r="D1576" s="3">
        <f>C1576-B1576</f>
        <v>0</v>
      </c>
    </row>
    <row r="1577" spans="1:4">
      <c r="A1577" s="12">
        <v>45039</v>
      </c>
      <c r="B1577" s="3">
        <v>96</v>
      </c>
      <c r="C1577" s="3">
        <v>96</v>
      </c>
      <c r="D1577" s="3">
        <f>C1577-B1577</f>
        <v>0</v>
      </c>
    </row>
    <row r="1578" spans="1:4">
      <c r="A1578" s="12">
        <v>45040</v>
      </c>
      <c r="B1578" s="3">
        <v>96</v>
      </c>
      <c r="C1578" s="3">
        <v>96</v>
      </c>
      <c r="D1578" s="3">
        <f>C1578-B1578</f>
        <v>0</v>
      </c>
    </row>
    <row r="1579" spans="1:4">
      <c r="A1579" s="12">
        <v>45041</v>
      </c>
      <c r="B1579" s="3">
        <v>96</v>
      </c>
      <c r="C1579" s="3">
        <v>96</v>
      </c>
      <c r="D1579" s="3">
        <f>C1579-B1579</f>
        <v>0</v>
      </c>
    </row>
    <row r="1580" spans="1:4">
      <c r="A1580" s="12">
        <v>45042</v>
      </c>
      <c r="B1580" s="3">
        <v>96</v>
      </c>
      <c r="C1580" s="3">
        <v>96</v>
      </c>
      <c r="D1580" s="3">
        <f>C1580-B1580</f>
        <v>0</v>
      </c>
    </row>
    <row r="1581" spans="1:4">
      <c r="A1581" s="12">
        <v>45043</v>
      </c>
      <c r="B1581" s="3">
        <v>96</v>
      </c>
      <c r="C1581" s="3">
        <v>96</v>
      </c>
      <c r="D1581" s="3">
        <f>C1581-B1581</f>
        <v>0</v>
      </c>
    </row>
    <row r="1582" spans="1:4">
      <c r="A1582" s="12">
        <v>45044</v>
      </c>
      <c r="B1582" s="3">
        <v>96</v>
      </c>
      <c r="C1582" s="3">
        <v>96</v>
      </c>
      <c r="D1582" s="3">
        <f>C1582-B1582</f>
        <v>0</v>
      </c>
    </row>
    <row r="1583" spans="1:4">
      <c r="A1583" s="12">
        <v>45045</v>
      </c>
      <c r="B1583" s="3">
        <v>96</v>
      </c>
      <c r="C1583" s="3">
        <v>96</v>
      </c>
      <c r="D1583" s="3">
        <f>C1583-B1583</f>
        <v>0</v>
      </c>
    </row>
    <row r="1584" spans="1:4">
      <c r="A1584" s="12">
        <v>45046</v>
      </c>
      <c r="B1584" s="3">
        <v>96</v>
      </c>
      <c r="C1584" s="3">
        <v>96</v>
      </c>
      <c r="D1584" s="3">
        <f>C1584-B1584</f>
        <v>0</v>
      </c>
    </row>
    <row r="1585" spans="1:4">
      <c r="A1585" s="12">
        <v>45047</v>
      </c>
      <c r="B1585" s="3">
        <v>96</v>
      </c>
      <c r="C1585" s="3">
        <v>96</v>
      </c>
      <c r="D1585" s="3">
        <f>C1585-B1585</f>
        <v>0</v>
      </c>
    </row>
    <row r="1586" spans="1:4">
      <c r="A1586" s="12">
        <v>45048</v>
      </c>
      <c r="B1586" s="3">
        <v>96</v>
      </c>
      <c r="C1586" s="3">
        <v>96</v>
      </c>
      <c r="D1586" s="3">
        <f>C1586-B1586</f>
        <v>0</v>
      </c>
    </row>
    <row r="1587" spans="1:4">
      <c r="A1587" s="12">
        <v>45049</v>
      </c>
      <c r="B1587" s="3">
        <v>96</v>
      </c>
      <c r="C1587" s="3">
        <v>96</v>
      </c>
      <c r="D1587" s="3">
        <f>C1587-B1587</f>
        <v>0</v>
      </c>
    </row>
    <row r="1588" spans="1:4">
      <c r="A1588" s="12">
        <v>45050</v>
      </c>
      <c r="B1588" s="3">
        <v>96</v>
      </c>
      <c r="C1588" s="3">
        <v>96</v>
      </c>
      <c r="D1588" s="3">
        <f>C1588-B1588</f>
        <v>0</v>
      </c>
    </row>
    <row r="1589" spans="1:4">
      <c r="A1589" s="12">
        <v>45051</v>
      </c>
      <c r="B1589" s="3">
        <v>96</v>
      </c>
      <c r="C1589" s="3">
        <v>96</v>
      </c>
      <c r="D1589" s="3">
        <f>C1589-B1589</f>
        <v>0</v>
      </c>
    </row>
    <row r="1590" spans="1:4">
      <c r="A1590" s="12">
        <v>45052</v>
      </c>
      <c r="B1590" s="3">
        <v>96</v>
      </c>
      <c r="C1590" s="3">
        <v>96</v>
      </c>
      <c r="D1590" s="3">
        <f>C1590-B1590</f>
        <v>0</v>
      </c>
    </row>
    <row r="1591" spans="1:4">
      <c r="A1591" s="12">
        <v>45053</v>
      </c>
      <c r="B1591" s="3">
        <v>96</v>
      </c>
      <c r="C1591" s="3">
        <v>96</v>
      </c>
      <c r="D1591" s="3">
        <f>C1591-B1591</f>
        <v>0</v>
      </c>
    </row>
    <row r="1592" spans="1:4">
      <c r="A1592" s="12">
        <v>45054</v>
      </c>
      <c r="B1592" s="3">
        <v>96</v>
      </c>
      <c r="C1592" s="3">
        <v>96</v>
      </c>
      <c r="D1592" s="3">
        <f>C1592-B1592</f>
        <v>0</v>
      </c>
    </row>
    <row r="1593" spans="1:4">
      <c r="A1593" s="12">
        <v>45055</v>
      </c>
      <c r="B1593" s="3">
        <v>96</v>
      </c>
      <c r="C1593" s="3">
        <v>96</v>
      </c>
      <c r="D1593" s="3">
        <f>C1593-B1593</f>
        <v>0</v>
      </c>
    </row>
    <row r="1594" spans="1:4">
      <c r="A1594" s="12">
        <v>45056</v>
      </c>
      <c r="B1594" s="3">
        <v>96</v>
      </c>
      <c r="C1594" s="3">
        <v>96</v>
      </c>
      <c r="D1594" s="3">
        <f>C1594-B1594</f>
        <v>0</v>
      </c>
    </row>
    <row r="1595" spans="1:4">
      <c r="A1595" s="12">
        <v>45057</v>
      </c>
      <c r="B1595" s="3">
        <v>96</v>
      </c>
      <c r="C1595" s="3">
        <v>96</v>
      </c>
      <c r="D1595" s="3">
        <f>C1595-B1595</f>
        <v>0</v>
      </c>
    </row>
    <row r="1596" spans="1:4">
      <c r="A1596" s="12">
        <v>45058</v>
      </c>
      <c r="B1596" s="3">
        <v>96</v>
      </c>
      <c r="C1596" s="3">
        <v>96</v>
      </c>
      <c r="D1596" s="3">
        <f>C1596-B1596</f>
        <v>0</v>
      </c>
    </row>
    <row r="1597" spans="1:4">
      <c r="A1597" s="12">
        <v>45059</v>
      </c>
      <c r="B1597" s="3">
        <v>96</v>
      </c>
      <c r="C1597" s="3">
        <v>96</v>
      </c>
      <c r="D1597" s="3">
        <f>C1597-B1597</f>
        <v>0</v>
      </c>
    </row>
    <row r="1598" spans="1:4">
      <c r="A1598" s="12">
        <v>45060</v>
      </c>
      <c r="B1598" s="3">
        <v>96</v>
      </c>
      <c r="C1598" s="3">
        <v>96</v>
      </c>
      <c r="D1598" s="3">
        <f>C1598-B1598</f>
        <v>0</v>
      </c>
    </row>
    <row r="1599" spans="1:4">
      <c r="A1599" s="12">
        <v>45061</v>
      </c>
      <c r="B1599" s="3">
        <v>96</v>
      </c>
      <c r="C1599" s="3">
        <v>96</v>
      </c>
      <c r="D1599" s="3">
        <f>C1599-B1599</f>
        <v>0</v>
      </c>
    </row>
    <row r="1600" spans="1:4">
      <c r="A1600" s="12">
        <v>45062</v>
      </c>
      <c r="B1600" s="3">
        <v>96</v>
      </c>
      <c r="C1600" s="3">
        <v>96</v>
      </c>
      <c r="D1600" s="3">
        <f>C1600-B1600</f>
        <v>0</v>
      </c>
    </row>
    <row r="1601" spans="1:4">
      <c r="A1601" s="12">
        <v>45063</v>
      </c>
      <c r="B1601" s="3">
        <v>96</v>
      </c>
      <c r="C1601" s="3">
        <v>96</v>
      </c>
      <c r="D1601" s="3">
        <f>C1601-B1601</f>
        <v>0</v>
      </c>
    </row>
    <row r="1602" spans="1:4">
      <c r="A1602" s="12">
        <v>45064</v>
      </c>
      <c r="B1602" s="3">
        <v>96</v>
      </c>
      <c r="C1602" s="3">
        <v>96</v>
      </c>
      <c r="D1602" s="3">
        <f>C1602-B1602</f>
        <v>0</v>
      </c>
    </row>
    <row r="1603" spans="1:4">
      <c r="A1603" s="12">
        <v>45065</v>
      </c>
      <c r="B1603" s="3">
        <v>96</v>
      </c>
      <c r="C1603" s="3">
        <v>96</v>
      </c>
      <c r="D1603" s="3">
        <f>C1603-B1603</f>
        <v>0</v>
      </c>
    </row>
    <row r="1604" spans="1:4">
      <c r="A1604" s="12">
        <v>45066</v>
      </c>
      <c r="B1604" s="3">
        <v>96</v>
      </c>
      <c r="C1604" s="3">
        <v>96</v>
      </c>
      <c r="D1604" s="3">
        <f>C1604-B1604</f>
        <v>0</v>
      </c>
    </row>
    <row r="1605" spans="1:4">
      <c r="A1605" s="12">
        <v>45067</v>
      </c>
      <c r="B1605" s="3">
        <v>96</v>
      </c>
      <c r="C1605" s="3">
        <v>96</v>
      </c>
      <c r="D1605" s="3">
        <f>C1605-B1605</f>
        <v>0</v>
      </c>
    </row>
    <row r="1606" spans="1:4">
      <c r="A1606" s="12">
        <v>45068</v>
      </c>
      <c r="B1606" s="3">
        <v>96</v>
      </c>
      <c r="C1606" s="3">
        <v>96</v>
      </c>
      <c r="D1606" s="3">
        <f>C1606-B1606</f>
        <v>0</v>
      </c>
    </row>
    <row r="1607" spans="1:4">
      <c r="A1607" s="12">
        <v>45069</v>
      </c>
      <c r="B1607" s="3">
        <v>96</v>
      </c>
      <c r="C1607" s="3">
        <v>96</v>
      </c>
      <c r="D1607" s="3">
        <f>C1607-B1607</f>
        <v>0</v>
      </c>
    </row>
    <row r="1608" spans="1:4">
      <c r="A1608" s="12">
        <v>45070</v>
      </c>
      <c r="B1608" s="3">
        <v>96</v>
      </c>
      <c r="C1608" s="3">
        <v>96</v>
      </c>
      <c r="D1608" s="3">
        <f>C1608-B1608</f>
        <v>0</v>
      </c>
    </row>
    <row r="1609" spans="1:4">
      <c r="A1609" s="12">
        <v>45071</v>
      </c>
      <c r="B1609" s="3">
        <v>96</v>
      </c>
      <c r="C1609" s="3">
        <v>96</v>
      </c>
      <c r="D1609" s="3">
        <f>C1609-B1609</f>
        <v>0</v>
      </c>
    </row>
    <row r="1610" spans="1:4">
      <c r="A1610" s="12">
        <v>45072</v>
      </c>
      <c r="B1610" s="3">
        <v>96</v>
      </c>
      <c r="C1610" s="3">
        <v>96</v>
      </c>
      <c r="D1610" s="3">
        <f>C1610-B1610</f>
        <v>0</v>
      </c>
    </row>
    <row r="1611" spans="1:4">
      <c r="A1611" s="12">
        <v>45073</v>
      </c>
      <c r="B1611" s="3">
        <v>96</v>
      </c>
      <c r="C1611" s="3">
        <v>96</v>
      </c>
      <c r="D1611" s="3">
        <f>C1611-B1611</f>
        <v>0</v>
      </c>
    </row>
    <row r="1612" spans="1:4">
      <c r="A1612" s="12">
        <v>45074</v>
      </c>
      <c r="B1612" s="3">
        <v>96</v>
      </c>
      <c r="C1612" s="3">
        <v>96</v>
      </c>
      <c r="D1612" s="3">
        <f>C1612-B1612</f>
        <v>0</v>
      </c>
    </row>
    <row r="1613" spans="1:4">
      <c r="A1613" s="12">
        <v>45075</v>
      </c>
      <c r="B1613" s="3">
        <v>96</v>
      </c>
      <c r="C1613" s="3">
        <v>96</v>
      </c>
      <c r="D1613" s="3">
        <f>C1613-B1613</f>
        <v>0</v>
      </c>
    </row>
    <row r="1614" spans="1:4">
      <c r="A1614" s="12">
        <v>45076</v>
      </c>
      <c r="B1614" s="3">
        <v>96</v>
      </c>
      <c r="C1614" s="3">
        <v>96</v>
      </c>
      <c r="D1614" s="3">
        <f>C1614-B1614</f>
        <v>0</v>
      </c>
    </row>
    <row r="1615" spans="1:4">
      <c r="A1615" s="12">
        <v>45077</v>
      </c>
      <c r="B1615" s="3">
        <v>96</v>
      </c>
      <c r="C1615" s="3">
        <v>96</v>
      </c>
      <c r="D1615" s="3">
        <f>C1615-B1615</f>
        <v>0</v>
      </c>
    </row>
    <row r="1616" spans="1:4">
      <c r="A1616" s="12">
        <v>45078</v>
      </c>
      <c r="B1616" s="3">
        <v>96</v>
      </c>
      <c r="C1616" s="3">
        <v>96</v>
      </c>
      <c r="D1616" s="3">
        <f>C1616-B1616</f>
        <v>0</v>
      </c>
    </row>
    <row r="1617" spans="1:4">
      <c r="A1617" s="12">
        <v>45079</v>
      </c>
      <c r="B1617" s="3">
        <v>96</v>
      </c>
      <c r="C1617" s="3">
        <v>96</v>
      </c>
      <c r="D1617" s="3">
        <f>C1617-B1617</f>
        <v>0</v>
      </c>
    </row>
    <row r="1618" spans="1:4">
      <c r="A1618" s="12">
        <v>45080</v>
      </c>
      <c r="B1618" s="3">
        <v>96</v>
      </c>
      <c r="C1618" s="3">
        <v>96</v>
      </c>
      <c r="D1618" s="3">
        <f>C1618-B1618</f>
        <v>0</v>
      </c>
    </row>
    <row r="1619" spans="1:4">
      <c r="A1619" s="12">
        <v>45081</v>
      </c>
      <c r="B1619" s="3">
        <v>96</v>
      </c>
      <c r="C1619" s="3">
        <v>96</v>
      </c>
      <c r="D1619" s="3">
        <f>C1619-B1619</f>
        <v>0</v>
      </c>
    </row>
    <row r="1620" spans="1:4">
      <c r="A1620" s="12">
        <v>45082</v>
      </c>
      <c r="B1620" s="3">
        <v>96</v>
      </c>
      <c r="C1620" s="3">
        <v>96</v>
      </c>
      <c r="D1620" s="3">
        <f>C1620-B1620</f>
        <v>0</v>
      </c>
    </row>
    <row r="1621" spans="1:4">
      <c r="A1621" s="12">
        <v>45083</v>
      </c>
      <c r="B1621" s="3">
        <v>96</v>
      </c>
      <c r="C1621" s="3">
        <v>96</v>
      </c>
      <c r="D1621" s="3">
        <f>C1621-B1621</f>
        <v>0</v>
      </c>
    </row>
    <row r="1622" spans="1:4">
      <c r="A1622" s="12">
        <v>45084</v>
      </c>
      <c r="B1622" s="3">
        <v>96</v>
      </c>
      <c r="C1622" s="3">
        <v>96</v>
      </c>
      <c r="D1622" s="3">
        <f>C1622-B1622</f>
        <v>0</v>
      </c>
    </row>
    <row r="1623" spans="1:4">
      <c r="A1623" s="12">
        <v>45085</v>
      </c>
      <c r="B1623" s="3">
        <v>96</v>
      </c>
      <c r="C1623" s="3">
        <v>96</v>
      </c>
      <c r="D1623" s="3">
        <f>C1623-B1623</f>
        <v>0</v>
      </c>
    </row>
    <row r="1624" spans="1:4">
      <c r="A1624" s="12">
        <v>45086</v>
      </c>
      <c r="B1624" s="3">
        <v>96</v>
      </c>
      <c r="C1624" s="3">
        <v>96</v>
      </c>
      <c r="D1624" s="3">
        <f>C1624-B1624</f>
        <v>0</v>
      </c>
    </row>
    <row r="1625" spans="1:4">
      <c r="A1625" s="12">
        <v>45087</v>
      </c>
      <c r="B1625" s="3">
        <v>96</v>
      </c>
      <c r="C1625" s="3">
        <v>96</v>
      </c>
      <c r="D1625" s="3">
        <f>C1625-B1625</f>
        <v>0</v>
      </c>
    </row>
    <row r="1626" spans="1:4">
      <c r="A1626" s="12">
        <v>45088</v>
      </c>
      <c r="B1626" s="3">
        <v>96</v>
      </c>
      <c r="C1626" s="3">
        <v>96</v>
      </c>
      <c r="D1626" s="3">
        <f>C1626-B1626</f>
        <v>0</v>
      </c>
    </row>
    <row r="1627" spans="1:4">
      <c r="A1627" s="12">
        <v>45089</v>
      </c>
      <c r="B1627" s="3">
        <v>96</v>
      </c>
      <c r="C1627" s="3">
        <v>96</v>
      </c>
      <c r="D1627" s="3">
        <f>C1627-B1627</f>
        <v>0</v>
      </c>
    </row>
    <row r="1628" spans="1:4">
      <c r="A1628" s="12">
        <v>45090</v>
      </c>
      <c r="B1628" s="3">
        <v>96</v>
      </c>
      <c r="C1628" s="3">
        <v>96</v>
      </c>
      <c r="D1628" s="3">
        <f>C1628-B1628</f>
        <v>0</v>
      </c>
    </row>
    <row r="1629" spans="1:4">
      <c r="A1629" s="12">
        <v>45091</v>
      </c>
      <c r="B1629" s="3">
        <v>96</v>
      </c>
      <c r="C1629" s="3">
        <v>96</v>
      </c>
      <c r="D1629" s="3">
        <f>C1629-B1629</f>
        <v>0</v>
      </c>
    </row>
    <row r="1630" spans="1:4">
      <c r="A1630" s="12">
        <v>45092</v>
      </c>
      <c r="B1630" s="3">
        <v>96</v>
      </c>
      <c r="C1630" s="3">
        <v>96</v>
      </c>
      <c r="D1630" s="3">
        <f>C1630-B1630</f>
        <v>0</v>
      </c>
    </row>
    <row r="1631" spans="1:4">
      <c r="A1631" s="12">
        <v>45093</v>
      </c>
      <c r="B1631" s="3">
        <v>96</v>
      </c>
      <c r="C1631" s="3">
        <v>96</v>
      </c>
      <c r="D1631" s="3">
        <f>C1631-B1631</f>
        <v>0</v>
      </c>
    </row>
    <row r="1632" spans="1:4">
      <c r="A1632" s="12">
        <v>45094</v>
      </c>
      <c r="B1632" s="3">
        <v>96</v>
      </c>
      <c r="C1632" s="3">
        <v>96</v>
      </c>
      <c r="D1632" s="3">
        <f>C1632-B1632</f>
        <v>0</v>
      </c>
    </row>
    <row r="1633" spans="1:4">
      <c r="A1633" s="12">
        <v>45095</v>
      </c>
      <c r="B1633" s="3">
        <v>96</v>
      </c>
      <c r="C1633" s="3">
        <v>96</v>
      </c>
      <c r="D1633" s="3">
        <f>C1633-B1633</f>
        <v>0</v>
      </c>
    </row>
    <row r="1634" spans="1:4">
      <c r="A1634" s="12">
        <v>45096</v>
      </c>
      <c r="B1634" s="3">
        <v>96</v>
      </c>
      <c r="C1634" s="3">
        <v>96</v>
      </c>
      <c r="D1634" s="3">
        <f>C1634-B1634</f>
        <v>0</v>
      </c>
    </row>
    <row r="1635" spans="1:4">
      <c r="A1635" s="12">
        <v>45097</v>
      </c>
      <c r="B1635" s="3">
        <v>96</v>
      </c>
      <c r="C1635" s="3">
        <v>96</v>
      </c>
      <c r="D1635" s="3">
        <f>C1635-B1635</f>
        <v>0</v>
      </c>
    </row>
    <row r="1636" spans="1:4">
      <c r="A1636" s="12">
        <v>45098</v>
      </c>
      <c r="B1636" s="3">
        <v>96</v>
      </c>
      <c r="C1636" s="3">
        <v>96</v>
      </c>
      <c r="D1636" s="3">
        <f>C1636-B1636</f>
        <v>0</v>
      </c>
    </row>
    <row r="1637" spans="1:4">
      <c r="A1637" s="12">
        <v>45099</v>
      </c>
      <c r="B1637" s="3">
        <v>96</v>
      </c>
      <c r="C1637" s="3">
        <v>96</v>
      </c>
      <c r="D1637" s="3">
        <f>C1637-B1637</f>
        <v>0</v>
      </c>
    </row>
    <row r="1638" spans="1:4">
      <c r="A1638" s="12">
        <v>45100</v>
      </c>
      <c r="B1638" s="3">
        <v>96</v>
      </c>
      <c r="C1638" s="3">
        <v>96</v>
      </c>
      <c r="D1638" s="3">
        <f>C1638-B1638</f>
        <v>0</v>
      </c>
    </row>
    <row r="1639" spans="1:4">
      <c r="A1639" s="12">
        <v>45101</v>
      </c>
      <c r="B1639" s="3">
        <v>96</v>
      </c>
      <c r="C1639" s="3">
        <v>96</v>
      </c>
      <c r="D1639" s="3">
        <f>C1639-B1639</f>
        <v>0</v>
      </c>
    </row>
    <row r="1640" spans="1:4">
      <c r="A1640" s="12">
        <v>45102</v>
      </c>
      <c r="B1640" s="3">
        <v>96</v>
      </c>
      <c r="C1640" s="3">
        <v>96</v>
      </c>
      <c r="D1640" s="3">
        <f>C1640-B1640</f>
        <v>0</v>
      </c>
    </row>
    <row r="1641" spans="1:4">
      <c r="A1641" s="12">
        <v>45103</v>
      </c>
      <c r="B1641" s="3">
        <v>96</v>
      </c>
      <c r="C1641" s="3">
        <v>96</v>
      </c>
      <c r="D1641" s="3">
        <f>C1641-B1641</f>
        <v>0</v>
      </c>
    </row>
    <row r="1642" spans="1:4">
      <c r="A1642" s="12">
        <v>45104</v>
      </c>
      <c r="B1642" s="3">
        <v>96</v>
      </c>
      <c r="C1642" s="3">
        <v>96</v>
      </c>
      <c r="D1642" s="3">
        <f>C1642-B1642</f>
        <v>0</v>
      </c>
    </row>
    <row r="1643" spans="1:4">
      <c r="A1643" s="12">
        <v>45105</v>
      </c>
      <c r="B1643" s="3">
        <v>96</v>
      </c>
      <c r="C1643" s="3">
        <v>96</v>
      </c>
      <c r="D1643" s="3">
        <f>C1643-B1643</f>
        <v>0</v>
      </c>
    </row>
    <row r="1644" spans="1:4">
      <c r="A1644" s="12">
        <v>45106</v>
      </c>
      <c r="B1644" s="3">
        <v>96</v>
      </c>
      <c r="C1644" s="3">
        <v>96</v>
      </c>
      <c r="D1644" s="3">
        <f>C1644-B1644</f>
        <v>0</v>
      </c>
    </row>
    <row r="1645" spans="1:4">
      <c r="A1645" s="12">
        <v>45107</v>
      </c>
      <c r="B1645" s="3">
        <v>96</v>
      </c>
      <c r="C1645" s="3">
        <v>96</v>
      </c>
      <c r="D1645" s="3">
        <f>C1645-B1645</f>
        <v>0</v>
      </c>
    </row>
    <row r="1646" spans="1:4">
      <c r="A1646" s="12">
        <v>45108</v>
      </c>
      <c r="B1646" s="3">
        <v>96</v>
      </c>
      <c r="C1646" s="3">
        <v>96</v>
      </c>
      <c r="D1646" s="3">
        <f>C1646-B1646</f>
        <v>0</v>
      </c>
    </row>
    <row r="1647" spans="1:4">
      <c r="A1647" s="12">
        <v>45109</v>
      </c>
      <c r="B1647" s="3">
        <v>96</v>
      </c>
      <c r="C1647" s="3">
        <v>96</v>
      </c>
      <c r="D1647" s="3">
        <f>C1647-B1647</f>
        <v>0</v>
      </c>
    </row>
    <row r="1648" spans="1:4">
      <c r="A1648" s="12">
        <v>45110</v>
      </c>
      <c r="B1648" s="3">
        <v>96</v>
      </c>
      <c r="C1648" s="3">
        <v>96</v>
      </c>
      <c r="D1648" s="3">
        <f>C1648-B1648</f>
        <v>0</v>
      </c>
    </row>
    <row r="1649" spans="1:4">
      <c r="A1649" s="12">
        <v>45111</v>
      </c>
      <c r="B1649" s="3">
        <v>96</v>
      </c>
      <c r="C1649" s="3">
        <v>96</v>
      </c>
      <c r="D1649" s="3">
        <f>C1649-B1649</f>
        <v>0</v>
      </c>
    </row>
    <row r="1650" spans="1:4">
      <c r="A1650" s="12">
        <v>45112</v>
      </c>
      <c r="B1650" s="3">
        <v>96</v>
      </c>
      <c r="C1650" s="3">
        <v>96</v>
      </c>
      <c r="D1650" s="3">
        <f>C1650-B1650</f>
        <v>0</v>
      </c>
    </row>
    <row r="1651" spans="1:4">
      <c r="A1651" s="12">
        <v>45113</v>
      </c>
      <c r="B1651" s="3">
        <v>96</v>
      </c>
      <c r="C1651" s="3">
        <v>96</v>
      </c>
      <c r="D1651" s="3">
        <f>C1651-B1651</f>
        <v>0</v>
      </c>
    </row>
    <row r="1652" spans="1:4">
      <c r="A1652" s="12">
        <v>45114</v>
      </c>
      <c r="B1652" s="3">
        <v>96</v>
      </c>
      <c r="C1652" s="3">
        <v>96</v>
      </c>
      <c r="D1652" s="3">
        <f>C1652-B1652</f>
        <v>0</v>
      </c>
    </row>
    <row r="1653" spans="1:4">
      <c r="A1653" s="12">
        <v>45115</v>
      </c>
      <c r="B1653" s="3">
        <v>96</v>
      </c>
      <c r="C1653" s="3">
        <v>96</v>
      </c>
      <c r="D1653" s="3">
        <f>C1653-B1653</f>
        <v>0</v>
      </c>
    </row>
    <row r="1654" spans="1:4">
      <c r="A1654" s="12">
        <v>45116</v>
      </c>
      <c r="B1654" s="3">
        <v>96</v>
      </c>
      <c r="C1654" s="3">
        <v>96</v>
      </c>
      <c r="D1654" s="3">
        <f>C1654-B1654</f>
        <v>0</v>
      </c>
    </row>
    <row r="1655" spans="1:4">
      <c r="A1655" s="12">
        <v>45117</v>
      </c>
      <c r="B1655" s="3">
        <v>96</v>
      </c>
      <c r="C1655" s="3">
        <v>96</v>
      </c>
      <c r="D1655" s="3">
        <f>C1655-B1655</f>
        <v>0</v>
      </c>
    </row>
    <row r="1656" spans="1:4">
      <c r="A1656" s="12">
        <v>45118</v>
      </c>
      <c r="B1656" s="3">
        <v>96</v>
      </c>
      <c r="C1656" s="3">
        <v>96</v>
      </c>
      <c r="D1656" s="3">
        <f>C1656-B1656</f>
        <v>0</v>
      </c>
    </row>
    <row r="1657" spans="1:4">
      <c r="A1657" s="12">
        <v>45119</v>
      </c>
      <c r="B1657" s="3">
        <v>96</v>
      </c>
      <c r="C1657" s="3">
        <v>96</v>
      </c>
      <c r="D1657" s="3">
        <f>C1657-B1657</f>
        <v>0</v>
      </c>
    </row>
    <row r="1658" spans="1:4">
      <c r="A1658" s="12">
        <v>45120</v>
      </c>
      <c r="B1658" s="3">
        <v>96</v>
      </c>
      <c r="C1658" s="3">
        <v>96</v>
      </c>
      <c r="D1658" s="3">
        <f>C1658-B1658</f>
        <v>0</v>
      </c>
    </row>
    <row r="1659" spans="1:4">
      <c r="A1659" s="12">
        <v>45121</v>
      </c>
      <c r="B1659" s="3">
        <v>96</v>
      </c>
      <c r="C1659" s="3">
        <v>96</v>
      </c>
      <c r="D1659" s="3">
        <f>C1659-B1659</f>
        <v>0</v>
      </c>
    </row>
    <row r="1660" spans="1:4">
      <c r="A1660" s="12">
        <v>45122</v>
      </c>
      <c r="B1660" s="3">
        <v>96</v>
      </c>
      <c r="C1660" s="3">
        <v>96</v>
      </c>
      <c r="D1660" s="3">
        <f>C1660-B1660</f>
        <v>0</v>
      </c>
    </row>
    <row r="1661" spans="1:4">
      <c r="A1661" s="12">
        <v>45123</v>
      </c>
      <c r="B1661" s="3">
        <v>96</v>
      </c>
      <c r="C1661" s="3">
        <v>96</v>
      </c>
      <c r="D1661" s="3">
        <f>C1661-B1661</f>
        <v>0</v>
      </c>
    </row>
    <row r="1662" spans="1:4">
      <c r="A1662" s="12">
        <v>45124</v>
      </c>
      <c r="B1662" s="3">
        <v>96</v>
      </c>
      <c r="C1662" s="3">
        <v>96</v>
      </c>
      <c r="D1662" s="3">
        <f>C1662-B1662</f>
        <v>0</v>
      </c>
    </row>
    <row r="1663" spans="1:4">
      <c r="A1663" s="12">
        <v>45125</v>
      </c>
      <c r="B1663" s="3">
        <v>96</v>
      </c>
      <c r="C1663" s="3">
        <v>96</v>
      </c>
      <c r="D1663" s="3">
        <f>C1663-B1663</f>
        <v>0</v>
      </c>
    </row>
    <row r="1664" spans="1:4">
      <c r="A1664" s="12">
        <v>45126</v>
      </c>
      <c r="B1664" s="3">
        <v>96</v>
      </c>
      <c r="C1664" s="3">
        <v>96</v>
      </c>
      <c r="D1664" s="3">
        <f>C1664-B1664</f>
        <v>0</v>
      </c>
    </row>
    <row r="1665" spans="1:4">
      <c r="A1665" s="12">
        <v>45127</v>
      </c>
      <c r="B1665" s="3">
        <v>96</v>
      </c>
      <c r="C1665" s="3">
        <v>96</v>
      </c>
      <c r="D1665" s="3">
        <f>C1665-B1665</f>
        <v>0</v>
      </c>
    </row>
    <row r="1666" spans="1:4">
      <c r="A1666" s="12">
        <v>45128</v>
      </c>
      <c r="B1666" s="3">
        <v>96</v>
      </c>
      <c r="C1666" s="3">
        <v>96</v>
      </c>
      <c r="D1666" s="3">
        <f>C1666-B1666</f>
        <v>0</v>
      </c>
    </row>
    <row r="1667" spans="1:4">
      <c r="A1667" s="12">
        <v>45129</v>
      </c>
      <c r="B1667" s="3">
        <v>96</v>
      </c>
      <c r="C1667" s="3">
        <v>96</v>
      </c>
      <c r="D1667" s="3">
        <f>C1667-B1667</f>
        <v>0</v>
      </c>
    </row>
    <row r="1668" spans="1:4">
      <c r="A1668" s="12">
        <v>45130</v>
      </c>
      <c r="B1668" s="3">
        <v>96</v>
      </c>
      <c r="C1668" s="3">
        <v>96</v>
      </c>
      <c r="D1668" s="3">
        <f>C1668-B1668</f>
        <v>0</v>
      </c>
    </row>
    <row r="1669" spans="1:4">
      <c r="A1669" s="12">
        <v>45131</v>
      </c>
      <c r="B1669" s="3">
        <v>96</v>
      </c>
      <c r="C1669" s="3">
        <v>96</v>
      </c>
      <c r="D1669" s="3">
        <f>C1669-B1669</f>
        <v>0</v>
      </c>
    </row>
    <row r="1670" spans="1:4">
      <c r="A1670" s="12">
        <v>45132</v>
      </c>
      <c r="B1670" s="3">
        <v>96</v>
      </c>
      <c r="C1670" s="3">
        <v>96</v>
      </c>
      <c r="D1670" s="3">
        <f>C1670-B1670</f>
        <v>0</v>
      </c>
    </row>
    <row r="1671" spans="1:4">
      <c r="A1671" s="12">
        <v>45133</v>
      </c>
      <c r="B1671" s="3">
        <v>96</v>
      </c>
      <c r="C1671" s="3">
        <v>96</v>
      </c>
      <c r="D1671" s="3">
        <f>C1671-B1671</f>
        <v>0</v>
      </c>
    </row>
    <row r="1672" spans="1:4">
      <c r="A1672" s="12">
        <v>45134</v>
      </c>
      <c r="B1672" s="3">
        <v>96</v>
      </c>
      <c r="C1672" s="3">
        <v>96</v>
      </c>
      <c r="D1672" s="3">
        <f>C1672-B1672</f>
        <v>0</v>
      </c>
    </row>
    <row r="1673" spans="1:4">
      <c r="A1673" s="12">
        <v>45135</v>
      </c>
      <c r="B1673" s="3">
        <v>96</v>
      </c>
      <c r="C1673" s="3">
        <v>96</v>
      </c>
      <c r="D1673" s="3">
        <f>C1673-B1673</f>
        <v>0</v>
      </c>
    </row>
    <row r="1674" spans="1:4">
      <c r="A1674" s="12">
        <v>45136</v>
      </c>
      <c r="B1674" s="3">
        <v>96</v>
      </c>
      <c r="C1674" s="3">
        <v>96</v>
      </c>
      <c r="D1674" s="3">
        <f>C1674-B1674</f>
        <v>0</v>
      </c>
    </row>
    <row r="1675" spans="1:4">
      <c r="A1675" s="12">
        <v>45137</v>
      </c>
      <c r="B1675" s="3">
        <v>96</v>
      </c>
      <c r="C1675" s="3">
        <v>96</v>
      </c>
      <c r="D1675" s="3">
        <f>C1675-B1675</f>
        <v>0</v>
      </c>
    </row>
    <row r="1676" spans="1:4">
      <c r="A1676" s="12">
        <v>45138</v>
      </c>
      <c r="B1676" s="3">
        <v>96</v>
      </c>
      <c r="C1676" s="3">
        <v>96</v>
      </c>
      <c r="D1676" s="3">
        <f>C1676-B1676</f>
        <v>0</v>
      </c>
    </row>
    <row r="1677" spans="1:4">
      <c r="A1677" s="12">
        <v>45139</v>
      </c>
      <c r="B1677" s="3">
        <v>96</v>
      </c>
      <c r="C1677" s="3">
        <v>96</v>
      </c>
      <c r="D1677" s="3">
        <f>C1677-B1677</f>
        <v>0</v>
      </c>
    </row>
    <row r="1678" spans="1:4">
      <c r="A1678" s="12">
        <v>45140</v>
      </c>
      <c r="B1678" s="3">
        <v>96</v>
      </c>
      <c r="C1678" s="3">
        <v>96</v>
      </c>
      <c r="D1678" s="3">
        <f>C1678-B1678</f>
        <v>0</v>
      </c>
    </row>
    <row r="1679" spans="1:4">
      <c r="A1679" s="12">
        <v>45141</v>
      </c>
      <c r="B1679" s="3">
        <v>96</v>
      </c>
      <c r="C1679" s="3">
        <v>96</v>
      </c>
      <c r="D1679" s="3">
        <f>C1679-B1679</f>
        <v>0</v>
      </c>
    </row>
    <row r="1680" spans="1:4">
      <c r="A1680" s="12">
        <v>45142</v>
      </c>
      <c r="B1680" s="3">
        <v>96</v>
      </c>
      <c r="C1680" s="3">
        <v>96</v>
      </c>
      <c r="D1680" s="3">
        <f>C1680-B1680</f>
        <v>0</v>
      </c>
    </row>
    <row r="1681" spans="1:4">
      <c r="A1681" s="12">
        <v>45143</v>
      </c>
      <c r="B1681" s="3">
        <v>96</v>
      </c>
      <c r="C1681" s="3">
        <v>96</v>
      </c>
      <c r="D1681" s="3">
        <f>C1681-B1681</f>
        <v>0</v>
      </c>
    </row>
    <row r="1682" spans="1:4">
      <c r="A1682" s="12">
        <v>45144</v>
      </c>
      <c r="B1682" s="3">
        <v>96</v>
      </c>
      <c r="C1682" s="3">
        <v>96</v>
      </c>
      <c r="D1682" s="3">
        <f>C1682-B1682</f>
        <v>0</v>
      </c>
    </row>
    <row r="1683" spans="1:4">
      <c r="A1683" s="12">
        <v>45145</v>
      </c>
      <c r="B1683" s="3">
        <v>96</v>
      </c>
      <c r="C1683" s="3">
        <v>96</v>
      </c>
      <c r="D1683" s="3">
        <f>C1683-B1683</f>
        <v>0</v>
      </c>
    </row>
    <row r="1684" spans="1:4">
      <c r="A1684" s="12">
        <v>45146</v>
      </c>
      <c r="B1684" s="3">
        <v>96</v>
      </c>
      <c r="C1684" s="3">
        <v>96</v>
      </c>
      <c r="D1684" s="3">
        <f>C1684-B1684</f>
        <v>0</v>
      </c>
    </row>
    <row r="1685" spans="1:4">
      <c r="A1685" s="12">
        <v>45147</v>
      </c>
      <c r="B1685" s="3">
        <v>96</v>
      </c>
      <c r="C1685" s="3">
        <v>96</v>
      </c>
      <c r="D1685" s="3">
        <f>C1685-B1685</f>
        <v>0</v>
      </c>
    </row>
    <row r="1686" spans="1:4">
      <c r="A1686" s="12">
        <v>45148</v>
      </c>
      <c r="B1686" s="3">
        <v>96</v>
      </c>
      <c r="C1686" s="3">
        <v>96</v>
      </c>
      <c r="D1686" s="3">
        <f>C1686-B1686</f>
        <v>0</v>
      </c>
    </row>
    <row r="1687" spans="1:4">
      <c r="A1687" s="12">
        <v>45149</v>
      </c>
      <c r="B1687" s="3">
        <v>96</v>
      </c>
      <c r="C1687" s="3">
        <v>96</v>
      </c>
      <c r="D1687" s="3">
        <f>C1687-B1687</f>
        <v>0</v>
      </c>
    </row>
    <row r="1688" spans="1:4">
      <c r="A1688" s="12">
        <v>45150</v>
      </c>
      <c r="B1688" s="3">
        <v>96</v>
      </c>
      <c r="C1688" s="3">
        <v>96</v>
      </c>
      <c r="D1688" s="3">
        <f>C1688-B1688</f>
        <v>0</v>
      </c>
    </row>
    <row r="1689" spans="1:4">
      <c r="A1689" s="12">
        <v>45151</v>
      </c>
      <c r="B1689" s="3">
        <v>96</v>
      </c>
      <c r="C1689" s="3">
        <v>96</v>
      </c>
      <c r="D1689" s="3">
        <f>C1689-B1689</f>
        <v>0</v>
      </c>
    </row>
    <row r="1690" spans="1:4">
      <c r="A1690" s="12">
        <v>45152</v>
      </c>
      <c r="B1690" s="3">
        <v>96</v>
      </c>
      <c r="C1690" s="3">
        <v>96</v>
      </c>
      <c r="D1690" s="3">
        <f>C1690-B1690</f>
        <v>0</v>
      </c>
    </row>
    <row r="1691" spans="1:4">
      <c r="A1691" s="12">
        <v>45153</v>
      </c>
      <c r="B1691" s="3">
        <v>96</v>
      </c>
      <c r="C1691" s="3">
        <v>96</v>
      </c>
      <c r="D1691" s="3">
        <f>C1691-B1691</f>
        <v>0</v>
      </c>
    </row>
    <row r="1692" spans="1:4">
      <c r="A1692" s="12">
        <v>45154</v>
      </c>
      <c r="B1692" s="3">
        <v>96</v>
      </c>
      <c r="C1692" s="3">
        <v>96</v>
      </c>
      <c r="D1692" s="3">
        <f>C1692-B1692</f>
        <v>0</v>
      </c>
    </row>
    <row r="1693" spans="1:4">
      <c r="A1693" s="12">
        <v>45155</v>
      </c>
      <c r="B1693" s="3">
        <v>96</v>
      </c>
      <c r="C1693" s="3">
        <v>96</v>
      </c>
      <c r="D1693" s="3">
        <f>C1693-B1693</f>
        <v>0</v>
      </c>
    </row>
    <row r="1694" spans="1:4">
      <c r="A1694" s="12">
        <v>45156</v>
      </c>
      <c r="B1694" s="3">
        <v>96</v>
      </c>
      <c r="C1694" s="3">
        <v>96</v>
      </c>
      <c r="D1694" s="3">
        <f>C1694-B1694</f>
        <v>0</v>
      </c>
    </row>
    <row r="1695" spans="1:4">
      <c r="A1695" s="12">
        <v>45157</v>
      </c>
      <c r="B1695" s="3">
        <v>96</v>
      </c>
      <c r="C1695" s="3">
        <v>96</v>
      </c>
      <c r="D1695" s="3">
        <f>C1695-B1695</f>
        <v>0</v>
      </c>
    </row>
    <row r="1696" spans="1:4">
      <c r="A1696" s="12">
        <v>45158</v>
      </c>
      <c r="B1696" s="3">
        <v>96</v>
      </c>
      <c r="C1696" s="3">
        <v>96</v>
      </c>
      <c r="D1696" s="3">
        <f>C1696-B1696</f>
        <v>0</v>
      </c>
    </row>
    <row r="1697" spans="1:4">
      <c r="A1697" s="12">
        <v>45159</v>
      </c>
      <c r="B1697" s="3">
        <v>96</v>
      </c>
      <c r="C1697" s="3">
        <v>96</v>
      </c>
      <c r="D1697" s="3">
        <f>C1697-B1697</f>
        <v>0</v>
      </c>
    </row>
    <row r="1698" spans="1:4">
      <c r="A1698" s="12">
        <v>45160</v>
      </c>
      <c r="B1698" s="3">
        <v>96</v>
      </c>
      <c r="C1698" s="3">
        <v>96</v>
      </c>
      <c r="D1698" s="3">
        <f>C1698-B1698</f>
        <v>0</v>
      </c>
    </row>
    <row r="1699" spans="1:4">
      <c r="A1699" s="12">
        <v>45161</v>
      </c>
      <c r="B1699" s="3">
        <v>96</v>
      </c>
      <c r="C1699" s="3">
        <v>96</v>
      </c>
      <c r="D1699" s="3">
        <f>C1699-B1699</f>
        <v>0</v>
      </c>
    </row>
    <row r="1700" spans="1:4">
      <c r="A1700" s="12">
        <v>45162</v>
      </c>
      <c r="B1700" s="3">
        <v>96</v>
      </c>
      <c r="C1700" s="3">
        <v>96</v>
      </c>
      <c r="D1700" s="3">
        <f>C1700-B1700</f>
        <v>0</v>
      </c>
    </row>
    <row r="1701" spans="1:4">
      <c r="A1701" s="12">
        <v>45163</v>
      </c>
      <c r="B1701" s="3">
        <v>96</v>
      </c>
      <c r="C1701" s="3">
        <v>96</v>
      </c>
      <c r="D1701" s="3">
        <f>C1701-B1701</f>
        <v>0</v>
      </c>
    </row>
    <row r="1702" spans="1:4">
      <c r="A1702" s="12">
        <v>45164</v>
      </c>
      <c r="B1702" s="3">
        <v>96</v>
      </c>
      <c r="C1702" s="3">
        <v>96</v>
      </c>
      <c r="D1702" s="3">
        <f>C1702-B1702</f>
        <v>0</v>
      </c>
    </row>
    <row r="1703" spans="1:4">
      <c r="A1703" s="12">
        <v>45165</v>
      </c>
      <c r="B1703" s="3">
        <v>96</v>
      </c>
      <c r="C1703" s="3">
        <v>96</v>
      </c>
      <c r="D1703" s="3">
        <f>C1703-B1703</f>
        <v>0</v>
      </c>
    </row>
    <row r="1704" spans="1:4">
      <c r="A1704" s="12">
        <v>45166</v>
      </c>
      <c r="B1704" s="3">
        <v>96</v>
      </c>
      <c r="C1704" s="3">
        <v>96</v>
      </c>
      <c r="D1704" s="3">
        <f>C1704-B1704</f>
        <v>0</v>
      </c>
    </row>
    <row r="1705" spans="1:4">
      <c r="A1705" s="12">
        <v>45167</v>
      </c>
      <c r="B1705" s="3">
        <v>96</v>
      </c>
      <c r="C1705" s="3">
        <v>96</v>
      </c>
      <c r="D1705" s="3">
        <f>C1705-B1705</f>
        <v>0</v>
      </c>
    </row>
    <row r="1706" spans="1:4">
      <c r="A1706" s="12">
        <v>45168</v>
      </c>
      <c r="B1706" s="3">
        <v>96</v>
      </c>
      <c r="C1706" s="3">
        <v>96</v>
      </c>
      <c r="D1706" s="3">
        <f>C1706-B1706</f>
        <v>0</v>
      </c>
    </row>
    <row r="1707" spans="1:4">
      <c r="A1707" s="12">
        <v>45169</v>
      </c>
      <c r="B1707" s="3">
        <v>96</v>
      </c>
      <c r="C1707" s="3">
        <v>96</v>
      </c>
      <c r="D1707" s="3">
        <f>C1707-B1707</f>
        <v>0</v>
      </c>
    </row>
    <row r="1708" spans="1:4">
      <c r="A1708" s="12">
        <v>45170</v>
      </c>
      <c r="B1708" s="3">
        <v>96</v>
      </c>
      <c r="C1708" s="3">
        <v>96</v>
      </c>
      <c r="D1708" s="3">
        <f>C1708-B1708</f>
        <v>0</v>
      </c>
    </row>
    <row r="1709" spans="1:4">
      <c r="A1709" s="12">
        <v>45171</v>
      </c>
      <c r="B1709" s="3">
        <v>96</v>
      </c>
      <c r="C1709" s="3">
        <v>96</v>
      </c>
      <c r="D1709" s="3">
        <f>C1709-B1709</f>
        <v>0</v>
      </c>
    </row>
    <row r="1710" spans="1:4">
      <c r="A1710" s="12">
        <v>45172</v>
      </c>
      <c r="B1710" s="3">
        <v>96</v>
      </c>
      <c r="C1710" s="3">
        <v>96</v>
      </c>
      <c r="D1710" s="3">
        <f>C1710-B1710</f>
        <v>0</v>
      </c>
    </row>
    <row r="1711" spans="1:4">
      <c r="A1711" s="12">
        <v>45173</v>
      </c>
      <c r="B1711" s="3">
        <v>96</v>
      </c>
      <c r="C1711" s="3">
        <v>96</v>
      </c>
      <c r="D1711" s="3">
        <f>C1711-B1711</f>
        <v>0</v>
      </c>
    </row>
    <row r="1712" spans="1:4">
      <c r="A1712" s="12">
        <v>45174</v>
      </c>
      <c r="B1712" s="3">
        <v>96</v>
      </c>
      <c r="C1712" s="3">
        <v>96</v>
      </c>
      <c r="D1712" s="3">
        <f>C1712-B1712</f>
        <v>0</v>
      </c>
    </row>
    <row r="1713" spans="1:4">
      <c r="A1713" s="12">
        <v>45175</v>
      </c>
      <c r="B1713" s="3">
        <v>96</v>
      </c>
      <c r="C1713" s="3">
        <v>96</v>
      </c>
      <c r="D1713" s="3">
        <f>C1713-B1713</f>
        <v>0</v>
      </c>
    </row>
    <row r="1714" spans="1:4">
      <c r="A1714" s="12">
        <v>45176</v>
      </c>
      <c r="B1714" s="3">
        <v>96</v>
      </c>
      <c r="C1714" s="3">
        <v>96</v>
      </c>
      <c r="D1714" s="3">
        <f>C1714-B1714</f>
        <v>0</v>
      </c>
    </row>
    <row r="1715" spans="1:4">
      <c r="A1715" s="12">
        <v>45177</v>
      </c>
      <c r="B1715" s="3">
        <v>96</v>
      </c>
      <c r="C1715" s="3">
        <v>96</v>
      </c>
      <c r="D1715" s="3">
        <f>C1715-B1715</f>
        <v>0</v>
      </c>
    </row>
    <row r="1716" spans="1:4">
      <c r="A1716" s="12">
        <v>45178</v>
      </c>
      <c r="B1716" s="3">
        <v>96</v>
      </c>
      <c r="C1716" s="3">
        <v>96</v>
      </c>
      <c r="D1716" s="3">
        <f>C1716-B1716</f>
        <v>0</v>
      </c>
    </row>
    <row r="1717" spans="1:4">
      <c r="A1717" s="12">
        <v>45179</v>
      </c>
      <c r="B1717" s="3">
        <v>96</v>
      </c>
      <c r="C1717" s="3">
        <v>96</v>
      </c>
      <c r="D1717" s="3">
        <f>C1717-B1717</f>
        <v>0</v>
      </c>
    </row>
    <row r="1718" spans="1:4">
      <c r="A1718" s="12">
        <v>45180</v>
      </c>
      <c r="B1718" s="3">
        <v>96</v>
      </c>
      <c r="C1718" s="3">
        <v>96</v>
      </c>
      <c r="D1718" s="3">
        <f>C1718-B1718</f>
        <v>0</v>
      </c>
    </row>
    <row r="1719" spans="1:4">
      <c r="A1719" s="12">
        <v>45181</v>
      </c>
      <c r="B1719" s="3">
        <v>96</v>
      </c>
      <c r="C1719" s="3">
        <v>96</v>
      </c>
      <c r="D1719" s="3">
        <f>C1719-B1719</f>
        <v>0</v>
      </c>
    </row>
    <row r="1720" spans="1:4">
      <c r="A1720" s="12">
        <v>45182</v>
      </c>
      <c r="B1720" s="3">
        <v>96</v>
      </c>
      <c r="C1720" s="3">
        <v>96</v>
      </c>
      <c r="D1720" s="3">
        <f>C1720-B1720</f>
        <v>0</v>
      </c>
    </row>
    <row r="1721" spans="1:4">
      <c r="A1721" s="12">
        <v>45183</v>
      </c>
      <c r="B1721" s="3">
        <v>96</v>
      </c>
      <c r="C1721" s="3">
        <v>96</v>
      </c>
      <c r="D1721" s="3">
        <f>C1721-B1721</f>
        <v>0</v>
      </c>
    </row>
    <row r="1722" spans="1:4">
      <c r="A1722" s="12">
        <v>45184</v>
      </c>
      <c r="B1722" s="3">
        <v>96</v>
      </c>
      <c r="C1722" s="3">
        <v>96</v>
      </c>
      <c r="D1722" s="3">
        <f>C1722-B1722</f>
        <v>0</v>
      </c>
    </row>
    <row r="1723" spans="1:4">
      <c r="A1723" s="12">
        <v>45185</v>
      </c>
      <c r="B1723" s="3">
        <v>96</v>
      </c>
      <c r="C1723" s="3">
        <v>96</v>
      </c>
      <c r="D1723" s="3">
        <f>C1723-B1723</f>
        <v>0</v>
      </c>
    </row>
    <row r="1724" spans="1:4">
      <c r="A1724" s="12">
        <v>45186</v>
      </c>
      <c r="B1724" s="3">
        <v>96</v>
      </c>
      <c r="C1724" s="3">
        <v>96</v>
      </c>
      <c r="D1724" s="3">
        <f>C1724-B1724</f>
        <v>0</v>
      </c>
    </row>
    <row r="1725" spans="1:4">
      <c r="A1725" s="12">
        <v>45187</v>
      </c>
      <c r="B1725" s="3">
        <v>96</v>
      </c>
      <c r="C1725" s="3">
        <v>96</v>
      </c>
      <c r="D1725" s="3">
        <f>C1725-B1725</f>
        <v>0</v>
      </c>
    </row>
    <row r="1726" spans="1:4">
      <c r="A1726" s="12">
        <v>45188</v>
      </c>
      <c r="B1726" s="3">
        <v>96</v>
      </c>
      <c r="C1726" s="3">
        <v>96</v>
      </c>
      <c r="D1726" s="3">
        <f>C1726-B1726</f>
        <v>0</v>
      </c>
    </row>
    <row r="1727" spans="1:4">
      <c r="A1727" s="12">
        <v>45189</v>
      </c>
      <c r="B1727" s="3">
        <v>96</v>
      </c>
      <c r="C1727" s="3">
        <v>96</v>
      </c>
      <c r="D1727" s="3">
        <f>C1727-B1727</f>
        <v>0</v>
      </c>
    </row>
    <row r="1728" spans="1:4">
      <c r="A1728" s="12">
        <v>45190</v>
      </c>
      <c r="B1728" s="3">
        <v>96</v>
      </c>
      <c r="C1728" s="3">
        <v>96</v>
      </c>
      <c r="D1728" s="3">
        <f>C1728-B1728</f>
        <v>0</v>
      </c>
    </row>
    <row r="1729" spans="1:4">
      <c r="A1729" s="12">
        <v>45191</v>
      </c>
      <c r="B1729" s="3">
        <v>96</v>
      </c>
      <c r="C1729" s="3">
        <v>96</v>
      </c>
      <c r="D1729" s="3">
        <f>C1729-B1729</f>
        <v>0</v>
      </c>
    </row>
    <row r="1730" spans="1:4">
      <c r="A1730" s="12">
        <v>45192</v>
      </c>
      <c r="B1730" s="3">
        <v>96</v>
      </c>
      <c r="C1730" s="3">
        <v>96</v>
      </c>
      <c r="D1730" s="3">
        <f>C1730-B1730</f>
        <v>0</v>
      </c>
    </row>
    <row r="1731" spans="1:4">
      <c r="A1731" s="12">
        <v>45193</v>
      </c>
      <c r="B1731" s="3">
        <v>96</v>
      </c>
      <c r="C1731" s="3">
        <v>96</v>
      </c>
      <c r="D1731" s="3">
        <f>C1731-B1731</f>
        <v>0</v>
      </c>
    </row>
    <row r="1732" spans="1:4">
      <c r="A1732" s="12">
        <v>45194</v>
      </c>
      <c r="B1732" s="3">
        <v>96</v>
      </c>
      <c r="C1732" s="3">
        <v>96</v>
      </c>
      <c r="D1732" s="3">
        <f>C1732-B1732</f>
        <v>0</v>
      </c>
    </row>
    <row r="1733" spans="1:4">
      <c r="A1733" s="12">
        <v>45195</v>
      </c>
      <c r="B1733" s="3">
        <v>96</v>
      </c>
      <c r="C1733" s="3">
        <v>96</v>
      </c>
      <c r="D1733" s="3">
        <f>C1733-B1733</f>
        <v>0</v>
      </c>
    </row>
    <row r="1734" spans="1:4">
      <c r="A1734" s="12">
        <v>45196</v>
      </c>
      <c r="B1734" s="3">
        <v>96</v>
      </c>
      <c r="C1734" s="3">
        <v>96</v>
      </c>
      <c r="D1734" s="3">
        <f>C1734-B1734</f>
        <v>0</v>
      </c>
    </row>
    <row r="1735" spans="1:4">
      <c r="A1735" s="12">
        <v>45197</v>
      </c>
      <c r="B1735" s="3">
        <v>96</v>
      </c>
      <c r="C1735" s="3">
        <v>96</v>
      </c>
      <c r="D1735" s="3">
        <f>C1735-B1735</f>
        <v>0</v>
      </c>
    </row>
    <row r="1736" spans="1:4">
      <c r="A1736" s="12">
        <v>45198</v>
      </c>
      <c r="B1736" s="3">
        <v>96</v>
      </c>
      <c r="C1736" s="3">
        <v>96</v>
      </c>
      <c r="D1736" s="3">
        <f>C1736-B1736</f>
        <v>0</v>
      </c>
    </row>
    <row r="1737" spans="1:4">
      <c r="A1737" s="12">
        <v>45199</v>
      </c>
      <c r="B1737" s="3">
        <v>96</v>
      </c>
      <c r="C1737" s="3">
        <v>96</v>
      </c>
      <c r="D1737" s="3">
        <f>C1737-B1737</f>
        <v>0</v>
      </c>
    </row>
    <row r="1738" spans="1:4">
      <c r="A1738" s="12">
        <v>45200</v>
      </c>
      <c r="B1738" s="3">
        <v>96</v>
      </c>
      <c r="C1738" s="3">
        <v>96</v>
      </c>
      <c r="D1738" s="3">
        <f>C1738-B1738</f>
        <v>0</v>
      </c>
    </row>
    <row r="1739" spans="1:4">
      <c r="A1739" s="12">
        <v>45201</v>
      </c>
      <c r="B1739" s="3">
        <v>96</v>
      </c>
      <c r="C1739" s="3">
        <v>96</v>
      </c>
      <c r="D1739" s="3">
        <f>C1739-B1739</f>
        <v>0</v>
      </c>
    </row>
    <row r="1740" spans="1:4">
      <c r="A1740" s="12">
        <v>45202</v>
      </c>
      <c r="B1740" s="3">
        <v>96</v>
      </c>
      <c r="C1740" s="3">
        <v>96</v>
      </c>
      <c r="D1740" s="3">
        <f>C1740-B1740</f>
        <v>0</v>
      </c>
    </row>
    <row r="1741" spans="1:4">
      <c r="A1741" s="12">
        <v>45203</v>
      </c>
      <c r="B1741" s="3">
        <v>96</v>
      </c>
      <c r="C1741" s="3">
        <v>96</v>
      </c>
      <c r="D1741" s="3">
        <f>C1741-B1741</f>
        <v>0</v>
      </c>
    </row>
    <row r="1742" spans="1:4">
      <c r="A1742" s="12">
        <v>45204</v>
      </c>
      <c r="B1742" s="3">
        <v>96</v>
      </c>
      <c r="C1742" s="3">
        <v>96</v>
      </c>
      <c r="D1742" s="3">
        <f>C1742-B1742</f>
        <v>0</v>
      </c>
    </row>
    <row r="1743" spans="1:4">
      <c r="A1743" s="12">
        <v>45205</v>
      </c>
      <c r="B1743" s="3">
        <v>96</v>
      </c>
      <c r="C1743" s="3">
        <v>96</v>
      </c>
      <c r="D1743" s="3">
        <f>C1743-B1743</f>
        <v>0</v>
      </c>
    </row>
    <row r="1744" spans="1:4">
      <c r="A1744" s="12">
        <v>45206</v>
      </c>
      <c r="B1744" s="3">
        <v>96</v>
      </c>
      <c r="C1744" s="3">
        <v>96</v>
      </c>
      <c r="D1744" s="3">
        <f>C1744-B1744</f>
        <v>0</v>
      </c>
    </row>
    <row r="1745" spans="1:4">
      <c r="A1745" s="12">
        <v>45207</v>
      </c>
      <c r="B1745" s="3">
        <v>96</v>
      </c>
      <c r="C1745" s="3">
        <v>96</v>
      </c>
      <c r="D1745" s="3">
        <f>C1745-B1745</f>
        <v>0</v>
      </c>
    </row>
    <row r="1746" spans="1:4">
      <c r="A1746" s="12">
        <v>45208</v>
      </c>
      <c r="B1746" s="3">
        <v>96</v>
      </c>
      <c r="C1746" s="3">
        <v>96</v>
      </c>
      <c r="D1746" s="3">
        <f>C1746-B1746</f>
        <v>0</v>
      </c>
    </row>
    <row r="1747" spans="1:4">
      <c r="A1747" s="12">
        <v>45209</v>
      </c>
      <c r="B1747" s="3">
        <v>96</v>
      </c>
      <c r="C1747" s="3">
        <v>96</v>
      </c>
      <c r="D1747" s="3">
        <f>C1747-B1747</f>
        <v>0</v>
      </c>
    </row>
    <row r="1748" spans="1:4">
      <c r="A1748" s="12">
        <v>45210</v>
      </c>
      <c r="B1748" s="3">
        <v>96</v>
      </c>
      <c r="C1748" s="3">
        <v>96</v>
      </c>
      <c r="D1748" s="3">
        <f>C1748-B1748</f>
        <v>0</v>
      </c>
    </row>
    <row r="1749" spans="1:4">
      <c r="A1749" s="12">
        <v>45211</v>
      </c>
      <c r="B1749" s="3">
        <v>96</v>
      </c>
      <c r="C1749" s="3">
        <v>96</v>
      </c>
      <c r="D1749" s="3">
        <f>C1749-B1749</f>
        <v>0</v>
      </c>
    </row>
    <row r="1750" spans="1:4">
      <c r="A1750" s="12">
        <v>45212</v>
      </c>
      <c r="B1750" s="3">
        <v>96</v>
      </c>
      <c r="C1750" s="3">
        <v>96</v>
      </c>
      <c r="D1750" s="3">
        <f>C1750-B1750</f>
        <v>0</v>
      </c>
    </row>
    <row r="1751" spans="1:4">
      <c r="A1751" s="12">
        <v>45213</v>
      </c>
      <c r="B1751" s="3">
        <v>96</v>
      </c>
      <c r="C1751" s="3">
        <v>96</v>
      </c>
      <c r="D1751" s="3">
        <f>C1751-B1751</f>
        <v>0</v>
      </c>
    </row>
    <row r="1752" spans="1:4">
      <c r="A1752" s="12">
        <v>45214</v>
      </c>
      <c r="B1752" s="3">
        <v>96</v>
      </c>
      <c r="C1752" s="3">
        <v>96</v>
      </c>
      <c r="D1752" s="3">
        <f>C1752-B1752</f>
        <v>0</v>
      </c>
    </row>
    <row r="1753" spans="1:4">
      <c r="A1753" s="12">
        <v>45215</v>
      </c>
      <c r="B1753" s="3">
        <v>96</v>
      </c>
      <c r="C1753" s="3">
        <v>96</v>
      </c>
      <c r="D1753" s="3">
        <f>C1753-B1753</f>
        <v>0</v>
      </c>
    </row>
    <row r="1754" spans="1:4">
      <c r="A1754" s="12">
        <v>45216</v>
      </c>
      <c r="B1754" s="3">
        <v>96</v>
      </c>
      <c r="C1754" s="3">
        <v>96</v>
      </c>
      <c r="D1754" s="3">
        <f>C1754-B1754</f>
        <v>0</v>
      </c>
    </row>
    <row r="1755" spans="1:4">
      <c r="A1755" s="12">
        <v>45217</v>
      </c>
      <c r="B1755" s="3">
        <v>96</v>
      </c>
      <c r="C1755" s="3">
        <v>96</v>
      </c>
      <c r="D1755" s="3">
        <f>C1755-B1755</f>
        <v>0</v>
      </c>
    </row>
    <row r="1756" spans="1:4">
      <c r="A1756" s="12">
        <v>45218</v>
      </c>
      <c r="B1756" s="3">
        <v>96</v>
      </c>
      <c r="C1756" s="3">
        <v>96</v>
      </c>
      <c r="D1756" s="3">
        <f>C1756-B1756</f>
        <v>0</v>
      </c>
    </row>
    <row r="1757" spans="1:4">
      <c r="A1757" s="12">
        <v>45219</v>
      </c>
      <c r="B1757" s="3">
        <v>96</v>
      </c>
      <c r="C1757" s="3">
        <v>96</v>
      </c>
      <c r="D1757" s="3">
        <f>C1757-B1757</f>
        <v>0</v>
      </c>
    </row>
    <row r="1758" spans="1:4">
      <c r="A1758" s="12">
        <v>45220</v>
      </c>
      <c r="B1758" s="3">
        <v>96</v>
      </c>
      <c r="C1758" s="3">
        <v>96</v>
      </c>
      <c r="D1758" s="3">
        <f>C1758-B1758</f>
        <v>0</v>
      </c>
    </row>
    <row r="1759" spans="1:4">
      <c r="A1759" s="12">
        <v>45221</v>
      </c>
      <c r="B1759" s="3">
        <v>96</v>
      </c>
      <c r="C1759" s="3">
        <v>96</v>
      </c>
      <c r="D1759" s="3">
        <f>C1759-B1759</f>
        <v>0</v>
      </c>
    </row>
    <row r="1760" spans="1:4">
      <c r="A1760" s="12">
        <v>45222</v>
      </c>
      <c r="B1760" s="3">
        <v>96</v>
      </c>
      <c r="C1760" s="3">
        <v>96</v>
      </c>
      <c r="D1760" s="3">
        <f>C1760-B1760</f>
        <v>0</v>
      </c>
    </row>
    <row r="1761" spans="1:4">
      <c r="A1761" s="12">
        <v>45223</v>
      </c>
      <c r="B1761" s="3">
        <v>96</v>
      </c>
      <c r="C1761" s="3">
        <v>96</v>
      </c>
      <c r="D1761" s="3">
        <f>C1761-B1761</f>
        <v>0</v>
      </c>
    </row>
    <row r="1762" spans="1:4">
      <c r="A1762" s="12">
        <v>45224</v>
      </c>
      <c r="B1762" s="3">
        <v>96</v>
      </c>
      <c r="C1762" s="3">
        <v>96</v>
      </c>
      <c r="D1762" s="3">
        <f>C1762-B1762</f>
        <v>0</v>
      </c>
    </row>
    <row r="1763" spans="1:4">
      <c r="A1763" s="12">
        <v>45225</v>
      </c>
      <c r="B1763" s="3">
        <v>96</v>
      </c>
      <c r="C1763" s="3">
        <v>96</v>
      </c>
      <c r="D1763" s="3">
        <f>C1763-B1763</f>
        <v>0</v>
      </c>
    </row>
    <row r="1764" spans="1:4">
      <c r="A1764" s="12">
        <v>45226</v>
      </c>
      <c r="B1764" s="3">
        <v>96</v>
      </c>
      <c r="C1764" s="3">
        <v>96</v>
      </c>
      <c r="D1764" s="3">
        <f>C1764-B1764</f>
        <v>0</v>
      </c>
    </row>
    <row r="1765" spans="1:4">
      <c r="A1765" s="12">
        <v>45227</v>
      </c>
      <c r="B1765" s="3">
        <v>96</v>
      </c>
      <c r="C1765" s="3">
        <v>96</v>
      </c>
      <c r="D1765" s="3">
        <f>C1765-B1765</f>
        <v>0</v>
      </c>
    </row>
    <row r="1766" spans="1:4">
      <c r="A1766" s="12">
        <v>45228</v>
      </c>
      <c r="B1766" s="3">
        <v>100</v>
      </c>
      <c r="C1766" s="3">
        <v>100</v>
      </c>
      <c r="D1766" s="3">
        <f>C1766-B1766</f>
        <v>0</v>
      </c>
    </row>
    <row r="1767" spans="1:4">
      <c r="A1767" s="12">
        <v>45229</v>
      </c>
      <c r="B1767" s="3">
        <v>96</v>
      </c>
      <c r="C1767" s="3">
        <v>96</v>
      </c>
      <c r="D1767" s="3">
        <f>C1767-B1767</f>
        <v>0</v>
      </c>
    </row>
    <row r="1768" spans="1:4">
      <c r="A1768" s="12">
        <v>45230</v>
      </c>
      <c r="B1768" s="3">
        <v>96</v>
      </c>
      <c r="C1768" s="3">
        <v>96</v>
      </c>
      <c r="D1768" s="3">
        <f>C1768-B1768</f>
        <v>0</v>
      </c>
    </row>
    <row r="1769" spans="1:4">
      <c r="A1769" s="12">
        <v>45231</v>
      </c>
      <c r="B1769" s="3">
        <v>96</v>
      </c>
      <c r="C1769" s="3">
        <v>96</v>
      </c>
      <c r="D1769" s="3">
        <f>C1769-B1769</f>
        <v>0</v>
      </c>
    </row>
    <row r="1770" spans="1:4">
      <c r="A1770" s="12">
        <v>45232</v>
      </c>
      <c r="B1770" s="3">
        <v>96</v>
      </c>
      <c r="C1770" s="3">
        <v>96</v>
      </c>
      <c r="D1770" s="3">
        <f>C1770-B1770</f>
        <v>0</v>
      </c>
    </row>
    <row r="1771" spans="1:4">
      <c r="A1771" s="12">
        <v>45233</v>
      </c>
      <c r="B1771" s="3">
        <v>96</v>
      </c>
      <c r="C1771" s="3">
        <v>96</v>
      </c>
      <c r="D1771" s="3">
        <f>C1771-B1771</f>
        <v>0</v>
      </c>
    </row>
    <row r="1772" spans="1:4">
      <c r="A1772" s="12">
        <v>45234</v>
      </c>
      <c r="B1772" s="3">
        <v>96</v>
      </c>
      <c r="C1772" s="3">
        <v>96</v>
      </c>
      <c r="D1772" s="3">
        <f>C1772-B1772</f>
        <v>0</v>
      </c>
    </row>
    <row r="1773" spans="1:4">
      <c r="A1773" s="12">
        <v>45235</v>
      </c>
      <c r="B1773" s="3">
        <v>96</v>
      </c>
      <c r="C1773" s="3">
        <v>96</v>
      </c>
      <c r="D1773" s="3">
        <f>C1773-B1773</f>
        <v>0</v>
      </c>
    </row>
    <row r="1774" spans="1:4">
      <c r="A1774" s="12">
        <v>45236</v>
      </c>
      <c r="B1774" s="3">
        <v>96</v>
      </c>
      <c r="C1774" s="3">
        <v>96</v>
      </c>
      <c r="D1774" s="3">
        <f>C1774-B1774</f>
        <v>0</v>
      </c>
    </row>
    <row r="1775" spans="1:4">
      <c r="A1775" s="12">
        <v>45237</v>
      </c>
      <c r="B1775" s="3">
        <v>96</v>
      </c>
      <c r="C1775" s="3">
        <v>96</v>
      </c>
      <c r="D1775" s="3">
        <f>C1775-B1775</f>
        <v>0</v>
      </c>
    </row>
    <row r="1776" spans="1:4">
      <c r="A1776" s="12">
        <v>45238</v>
      </c>
      <c r="B1776" s="3">
        <v>96</v>
      </c>
      <c r="C1776" s="3">
        <v>96</v>
      </c>
      <c r="D1776" s="3">
        <f>C1776-B1776</f>
        <v>0</v>
      </c>
    </row>
    <row r="1777" spans="1:4">
      <c r="A1777" s="12">
        <v>45239</v>
      </c>
      <c r="B1777" s="3">
        <v>96</v>
      </c>
      <c r="C1777" s="3">
        <v>96</v>
      </c>
      <c r="D1777" s="3">
        <f>C1777-B1777</f>
        <v>0</v>
      </c>
    </row>
    <row r="1778" spans="1:4">
      <c r="A1778" s="12">
        <v>45240</v>
      </c>
      <c r="B1778" s="3">
        <v>96</v>
      </c>
      <c r="C1778" s="3">
        <v>96</v>
      </c>
      <c r="D1778" s="3">
        <f>C1778-B1778</f>
        <v>0</v>
      </c>
    </row>
    <row r="1779" spans="1:4">
      <c r="A1779" s="12">
        <v>45241</v>
      </c>
      <c r="B1779" s="3">
        <v>96</v>
      </c>
      <c r="C1779" s="3">
        <v>96</v>
      </c>
      <c r="D1779" s="3">
        <f>C1779-B1779</f>
        <v>0</v>
      </c>
    </row>
    <row r="1780" spans="1:4">
      <c r="A1780" s="12">
        <v>45242</v>
      </c>
      <c r="B1780" s="3">
        <v>96</v>
      </c>
      <c r="C1780" s="3">
        <v>96</v>
      </c>
      <c r="D1780" s="3">
        <f>C1780-B1780</f>
        <v>0</v>
      </c>
    </row>
    <row r="1781" spans="1:4">
      <c r="A1781" s="12">
        <v>45243</v>
      </c>
      <c r="B1781" s="3">
        <v>96</v>
      </c>
      <c r="C1781" s="3">
        <v>96</v>
      </c>
      <c r="D1781" s="3">
        <f>C1781-B1781</f>
        <v>0</v>
      </c>
    </row>
    <row r="1782" spans="1:4">
      <c r="A1782" s="12">
        <v>45244</v>
      </c>
      <c r="B1782" s="3">
        <v>96</v>
      </c>
      <c r="C1782" s="3">
        <v>96</v>
      </c>
      <c r="D1782" s="3">
        <f>C1782-B1782</f>
        <v>0</v>
      </c>
    </row>
    <row r="1783" spans="1:4">
      <c r="A1783" s="12">
        <v>45245</v>
      </c>
      <c r="B1783" s="3">
        <v>96</v>
      </c>
      <c r="C1783" s="3">
        <v>96</v>
      </c>
      <c r="D1783" s="3">
        <f>C1783-B1783</f>
        <v>0</v>
      </c>
    </row>
    <row r="1784" spans="1:4">
      <c r="A1784" s="12">
        <v>45246</v>
      </c>
      <c r="B1784" s="3">
        <v>96</v>
      </c>
      <c r="C1784" s="3">
        <v>96</v>
      </c>
      <c r="D1784" s="3">
        <f>C1784-B1784</f>
        <v>0</v>
      </c>
    </row>
    <row r="1785" spans="1:4">
      <c r="A1785" s="12">
        <v>45247</v>
      </c>
      <c r="B1785" s="3">
        <v>96</v>
      </c>
      <c r="C1785" s="3">
        <v>96</v>
      </c>
      <c r="D1785" s="3">
        <f>C1785-B1785</f>
        <v>0</v>
      </c>
    </row>
    <row r="1786" spans="1:4">
      <c r="A1786" s="12">
        <v>45248</v>
      </c>
      <c r="B1786" s="3">
        <v>96</v>
      </c>
      <c r="C1786" s="3">
        <v>96</v>
      </c>
      <c r="D1786" s="3">
        <f>C1786-B1786</f>
        <v>0</v>
      </c>
    </row>
    <row r="1787" spans="1:4">
      <c r="A1787" s="12">
        <v>45249</v>
      </c>
      <c r="B1787" s="3">
        <v>96</v>
      </c>
      <c r="C1787" s="3">
        <v>96</v>
      </c>
      <c r="D1787" s="3">
        <f>C1787-B1787</f>
        <v>0</v>
      </c>
    </row>
    <row r="1788" spans="1:4">
      <c r="A1788" s="12">
        <v>45250</v>
      </c>
      <c r="B1788" s="3">
        <v>96</v>
      </c>
      <c r="C1788" s="3">
        <v>96</v>
      </c>
      <c r="D1788" s="3">
        <f>C1788-B1788</f>
        <v>0</v>
      </c>
    </row>
    <row r="1789" spans="1:4">
      <c r="A1789" s="12">
        <v>45251</v>
      </c>
      <c r="B1789" s="3">
        <v>96</v>
      </c>
      <c r="C1789" s="3">
        <v>96</v>
      </c>
      <c r="D1789" s="3">
        <f>C1789-B1789</f>
        <v>0</v>
      </c>
    </row>
    <row r="1790" spans="1:4">
      <c r="A1790" s="12">
        <v>45252</v>
      </c>
      <c r="B1790" s="3">
        <v>96</v>
      </c>
      <c r="C1790" s="3">
        <v>96</v>
      </c>
      <c r="D1790" s="3">
        <f>C1790-B1790</f>
        <v>0</v>
      </c>
    </row>
    <row r="1791" spans="1:4">
      <c r="A1791" s="12">
        <v>45253</v>
      </c>
      <c r="B1791" s="3">
        <v>96</v>
      </c>
      <c r="C1791" s="3">
        <v>96</v>
      </c>
      <c r="D1791" s="3">
        <f>C1791-B1791</f>
        <v>0</v>
      </c>
    </row>
    <row r="1792" spans="1:4">
      <c r="A1792" s="12">
        <v>45254</v>
      </c>
      <c r="B1792" s="3">
        <v>96</v>
      </c>
      <c r="C1792" s="3">
        <v>96</v>
      </c>
      <c r="D1792" s="3">
        <f>C1792-B1792</f>
        <v>0</v>
      </c>
    </row>
    <row r="1793" spans="1:4">
      <c r="A1793" s="12">
        <v>45255</v>
      </c>
      <c r="B1793" s="3">
        <v>96</v>
      </c>
      <c r="C1793" s="3">
        <v>96</v>
      </c>
      <c r="D1793" s="3">
        <f>C1793-B1793</f>
        <v>0</v>
      </c>
    </row>
    <row r="1794" spans="1:4">
      <c r="A1794" s="12">
        <v>45256</v>
      </c>
      <c r="B1794" s="3">
        <v>96</v>
      </c>
      <c r="C1794" s="3">
        <v>96</v>
      </c>
      <c r="D1794" s="3">
        <f>C1794-B1794</f>
        <v>0</v>
      </c>
    </row>
    <row r="1795" spans="1:4">
      <c r="A1795" s="12">
        <v>45257</v>
      </c>
      <c r="B1795" s="3">
        <v>96</v>
      </c>
      <c r="C1795" s="3">
        <v>96</v>
      </c>
      <c r="D1795" s="3">
        <f>C1795-B1795</f>
        <v>0</v>
      </c>
    </row>
    <row r="1796" spans="1:4">
      <c r="A1796" s="12">
        <v>45258</v>
      </c>
      <c r="B1796" s="3">
        <v>96</v>
      </c>
      <c r="C1796" s="3">
        <v>96</v>
      </c>
      <c r="D1796" s="3">
        <f>C1796-B1796</f>
        <v>0</v>
      </c>
    </row>
    <row r="1797" spans="1:4">
      <c r="A1797" s="12">
        <v>45259</v>
      </c>
      <c r="B1797" s="3">
        <v>96</v>
      </c>
      <c r="C1797" s="3">
        <v>96</v>
      </c>
      <c r="D1797" s="3">
        <f>C1797-B1797</f>
        <v>0</v>
      </c>
    </row>
    <row r="1798" spans="1:4">
      <c r="A1798" s="12">
        <v>45260</v>
      </c>
      <c r="B1798" s="3">
        <v>96</v>
      </c>
      <c r="C1798" s="3">
        <v>96</v>
      </c>
      <c r="D1798" s="3">
        <f>C1798-B1798</f>
        <v>0</v>
      </c>
    </row>
    <row r="1799" spans="1:4">
      <c r="A1799" s="12">
        <v>45261</v>
      </c>
      <c r="B1799" s="3">
        <v>96</v>
      </c>
      <c r="C1799" s="3">
        <v>96</v>
      </c>
      <c r="D1799" s="3">
        <f>C1799-B1799</f>
        <v>0</v>
      </c>
    </row>
    <row r="1800" spans="1:4">
      <c r="A1800" s="12">
        <v>45262</v>
      </c>
      <c r="B1800" s="3">
        <v>96</v>
      </c>
      <c r="C1800" s="3">
        <v>96</v>
      </c>
      <c r="D1800" s="3">
        <f>C1800-B1800</f>
        <v>0</v>
      </c>
    </row>
    <row r="1801" spans="1:4">
      <c r="A1801" s="12">
        <v>45263</v>
      </c>
      <c r="B1801" s="3">
        <v>96</v>
      </c>
      <c r="C1801" s="3">
        <v>96</v>
      </c>
      <c r="D1801" s="3">
        <f>C1801-B1801</f>
        <v>0</v>
      </c>
    </row>
    <row r="1802" spans="1:4">
      <c r="A1802" s="12">
        <v>45264</v>
      </c>
      <c r="B1802" s="3">
        <v>96</v>
      </c>
      <c r="C1802" s="3">
        <v>96</v>
      </c>
      <c r="D1802" s="3">
        <f>C1802-B1802</f>
        <v>0</v>
      </c>
    </row>
    <row r="1803" spans="1:4">
      <c r="A1803" s="12">
        <v>45265</v>
      </c>
      <c r="B1803" s="3">
        <v>96</v>
      </c>
      <c r="C1803" s="3">
        <v>96</v>
      </c>
      <c r="D1803" s="3">
        <f>C1803-B1803</f>
        <v>0</v>
      </c>
    </row>
    <row r="1804" spans="1:4">
      <c r="A1804" s="12">
        <v>45266</v>
      </c>
      <c r="B1804" s="3">
        <v>96</v>
      </c>
      <c r="C1804" s="3">
        <v>96</v>
      </c>
      <c r="D1804" s="3">
        <f>C1804-B1804</f>
        <v>0</v>
      </c>
    </row>
    <row r="1805" spans="1:4">
      <c r="A1805" s="12">
        <v>45267</v>
      </c>
      <c r="B1805" s="3">
        <v>96</v>
      </c>
      <c r="C1805" s="3">
        <v>96</v>
      </c>
      <c r="D1805" s="3">
        <f>C1805-B1805</f>
        <v>0</v>
      </c>
    </row>
    <row r="1806" spans="1:4">
      <c r="A1806" s="12">
        <v>45268</v>
      </c>
      <c r="B1806" s="3">
        <v>96</v>
      </c>
      <c r="C1806" s="3">
        <v>96</v>
      </c>
      <c r="D1806" s="3">
        <f>C1806-B1806</f>
        <v>0</v>
      </c>
    </row>
    <row r="1807" spans="1:4">
      <c r="A1807" s="12">
        <v>45269</v>
      </c>
      <c r="B1807" s="3">
        <v>96</v>
      </c>
      <c r="C1807" s="3">
        <v>96</v>
      </c>
      <c r="D1807" s="3">
        <f>C1807-B1807</f>
        <v>0</v>
      </c>
    </row>
    <row r="1808" spans="1:4">
      <c r="A1808" s="12">
        <v>45270</v>
      </c>
      <c r="B1808" s="3">
        <v>96</v>
      </c>
      <c r="C1808" s="3">
        <v>96</v>
      </c>
      <c r="D1808" s="3">
        <f>C1808-B1808</f>
        <v>0</v>
      </c>
    </row>
    <row r="1809" spans="1:4">
      <c r="A1809" s="12">
        <v>45271</v>
      </c>
      <c r="B1809" s="3">
        <v>96</v>
      </c>
      <c r="C1809" s="3">
        <v>96</v>
      </c>
      <c r="D1809" s="3">
        <f>C1809-B1809</f>
        <v>0</v>
      </c>
    </row>
    <row r="1810" spans="1:4">
      <c r="A1810" s="12">
        <v>45272</v>
      </c>
      <c r="B1810" s="3">
        <v>96</v>
      </c>
      <c r="C1810" s="3">
        <v>96</v>
      </c>
      <c r="D1810" s="3">
        <f>C1810-B1810</f>
        <v>0</v>
      </c>
    </row>
    <row r="1811" spans="1:4">
      <c r="A1811" s="12">
        <v>45273</v>
      </c>
      <c r="B1811" s="3">
        <v>96</v>
      </c>
      <c r="C1811" s="3">
        <v>96</v>
      </c>
      <c r="D1811" s="3">
        <f>C1811-B1811</f>
        <v>0</v>
      </c>
    </row>
    <row r="1812" spans="1:4">
      <c r="A1812" s="12">
        <v>45274</v>
      </c>
      <c r="B1812" s="3">
        <v>96</v>
      </c>
      <c r="C1812" s="3">
        <v>96</v>
      </c>
      <c r="D1812" s="3">
        <f>C1812-B1812</f>
        <v>0</v>
      </c>
    </row>
    <row r="1813" spans="1:4">
      <c r="A1813" s="12">
        <v>45275</v>
      </c>
      <c r="B1813" s="3">
        <v>96</v>
      </c>
      <c r="C1813" s="3">
        <v>96</v>
      </c>
      <c r="D1813" s="3">
        <f>C1813-B1813</f>
        <v>0</v>
      </c>
    </row>
    <row r="1814" spans="1:4">
      <c r="A1814" s="12">
        <v>45276</v>
      </c>
      <c r="B1814" s="3">
        <v>96</v>
      </c>
      <c r="C1814" s="3">
        <v>96</v>
      </c>
      <c r="D1814" s="3">
        <f>C1814-B1814</f>
        <v>0</v>
      </c>
    </row>
    <row r="1815" spans="1:4">
      <c r="A1815" s="12">
        <v>45277</v>
      </c>
      <c r="B1815" s="3">
        <v>96</v>
      </c>
      <c r="C1815" s="3">
        <v>96</v>
      </c>
      <c r="D1815" s="3">
        <f>C1815-B1815</f>
        <v>0</v>
      </c>
    </row>
    <row r="1816" spans="1:4">
      <c r="A1816" s="12">
        <v>45278</v>
      </c>
      <c r="B1816" s="3">
        <v>96</v>
      </c>
      <c r="C1816" s="3">
        <v>96</v>
      </c>
      <c r="D1816" s="3">
        <f>C1816-B1816</f>
        <v>0</v>
      </c>
    </row>
    <row r="1817" spans="1:4">
      <c r="A1817" s="12">
        <v>45279</v>
      </c>
      <c r="B1817" s="3">
        <v>96</v>
      </c>
      <c r="C1817" s="3">
        <v>96</v>
      </c>
      <c r="D1817" s="3">
        <f>C1817-B1817</f>
        <v>0</v>
      </c>
    </row>
    <row r="1818" spans="1:4">
      <c r="A1818" s="12">
        <v>45280</v>
      </c>
      <c r="B1818" s="3">
        <v>96</v>
      </c>
      <c r="C1818" s="3">
        <v>96</v>
      </c>
      <c r="D1818" s="3">
        <f>C1818-B1818</f>
        <v>0</v>
      </c>
    </row>
    <row r="1819" spans="1:4">
      <c r="A1819" s="12">
        <v>45281</v>
      </c>
      <c r="B1819" s="3">
        <v>96</v>
      </c>
      <c r="C1819" s="3">
        <v>96</v>
      </c>
      <c r="D1819" s="3">
        <f>C1819-B1819</f>
        <v>0</v>
      </c>
    </row>
    <row r="1820" spans="1:4">
      <c r="A1820" s="12">
        <v>45282</v>
      </c>
      <c r="B1820" s="3">
        <v>96</v>
      </c>
      <c r="C1820" s="3">
        <v>96</v>
      </c>
      <c r="D1820" s="3">
        <f>C1820-B1820</f>
        <v>0</v>
      </c>
    </row>
    <row r="1821" spans="1:4">
      <c r="A1821" s="12">
        <v>45283</v>
      </c>
      <c r="B1821" s="3">
        <v>96</v>
      </c>
      <c r="C1821" s="3">
        <v>96</v>
      </c>
      <c r="D1821" s="3">
        <f>C1821-B1821</f>
        <v>0</v>
      </c>
    </row>
    <row r="1822" spans="1:4">
      <c r="A1822" s="12">
        <v>45284</v>
      </c>
      <c r="B1822" s="3">
        <v>96</v>
      </c>
      <c r="C1822" s="3">
        <v>96</v>
      </c>
      <c r="D1822" s="3">
        <f>C1822-B1822</f>
        <v>0</v>
      </c>
    </row>
    <row r="1823" spans="1:4">
      <c r="A1823" s="12">
        <v>45285</v>
      </c>
      <c r="B1823" s="3">
        <v>96</v>
      </c>
      <c r="C1823" s="3">
        <v>96</v>
      </c>
      <c r="D1823" s="3">
        <f>C1823-B1823</f>
        <v>0</v>
      </c>
    </row>
    <row r="1824" spans="1:4">
      <c r="A1824" s="12">
        <v>45286</v>
      </c>
      <c r="B1824" s="3">
        <v>96</v>
      </c>
      <c r="C1824" s="3">
        <v>96</v>
      </c>
      <c r="D1824" s="3">
        <f>C1824-B1824</f>
        <v>0</v>
      </c>
    </row>
    <row r="1825" spans="1:4">
      <c r="A1825" s="12">
        <v>45287</v>
      </c>
      <c r="B1825" s="3">
        <v>96</v>
      </c>
      <c r="C1825" s="3">
        <v>96</v>
      </c>
      <c r="D1825" s="3">
        <f>C1825-B1825</f>
        <v>0</v>
      </c>
    </row>
    <row r="1826" spans="1:4">
      <c r="A1826" s="12">
        <v>45288</v>
      </c>
      <c r="B1826" s="3">
        <v>96</v>
      </c>
      <c r="C1826" s="3">
        <v>96</v>
      </c>
      <c r="D1826" s="3">
        <f>C1826-B1826</f>
        <v>0</v>
      </c>
    </row>
    <row r="1827" spans="1:4">
      <c r="A1827" s="12">
        <v>45289</v>
      </c>
      <c r="B1827" s="3">
        <v>96</v>
      </c>
      <c r="C1827" s="3">
        <v>96</v>
      </c>
      <c r="D1827" s="3">
        <f>C1827-B1827</f>
        <v>0</v>
      </c>
    </row>
    <row r="1828" spans="1:4">
      <c r="A1828" s="12">
        <v>45290</v>
      </c>
      <c r="B1828" s="3">
        <v>96</v>
      </c>
      <c r="C1828" s="3">
        <v>96</v>
      </c>
      <c r="D1828" s="3">
        <f>C1828-B1828</f>
        <v>0</v>
      </c>
    </row>
    <row r="1829" spans="1:4">
      <c r="A1829" s="12">
        <v>45291</v>
      </c>
      <c r="B1829" s="3">
        <v>96</v>
      </c>
      <c r="C1829" s="3">
        <v>96</v>
      </c>
      <c r="D1829" s="3">
        <f>C1829-B1829</f>
        <v>0</v>
      </c>
    </row>
    <row r="1830" spans="1:4">
      <c r="A1830" s="12">
        <v>45292</v>
      </c>
      <c r="B1830" s="3">
        <v>96</v>
      </c>
      <c r="C1830" s="3">
        <v>96</v>
      </c>
      <c r="D1830" s="3">
        <f>C1830-B1830</f>
        <v>0</v>
      </c>
    </row>
    <row r="1831" spans="1:4">
      <c r="A1831" s="12">
        <v>45293</v>
      </c>
      <c r="B1831" s="3">
        <v>96</v>
      </c>
      <c r="C1831" s="3">
        <v>96</v>
      </c>
      <c r="D1831" s="3">
        <f>C1831-B1831</f>
        <v>0</v>
      </c>
    </row>
    <row r="1832" spans="1:4">
      <c r="A1832" s="12">
        <v>45294</v>
      </c>
      <c r="B1832" s="3">
        <v>96</v>
      </c>
      <c r="C1832" s="3">
        <v>96</v>
      </c>
      <c r="D1832" s="3">
        <f>C1832-B1832</f>
        <v>0</v>
      </c>
    </row>
    <row r="1833" spans="1:4">
      <c r="A1833" s="12">
        <v>45295</v>
      </c>
      <c r="B1833" s="3">
        <v>96</v>
      </c>
      <c r="C1833" s="3">
        <v>96</v>
      </c>
      <c r="D1833" s="3">
        <f>C1833-B1833</f>
        <v>0</v>
      </c>
    </row>
    <row r="1834" spans="1:4">
      <c r="A1834" s="12">
        <v>45296</v>
      </c>
      <c r="B1834" s="3">
        <v>96</v>
      </c>
      <c r="C1834" s="3">
        <v>96</v>
      </c>
      <c r="D1834" s="3">
        <f>C1834-B1834</f>
        <v>0</v>
      </c>
    </row>
    <row r="1835" spans="1:4">
      <c r="A1835" s="12">
        <v>45297</v>
      </c>
      <c r="B1835" s="3">
        <v>96</v>
      </c>
      <c r="C1835" s="3">
        <v>96</v>
      </c>
      <c r="D1835" s="3">
        <f>C1835-B1835</f>
        <v>0</v>
      </c>
    </row>
    <row r="1836" spans="1:4">
      <c r="A1836" s="12">
        <v>45298</v>
      </c>
      <c r="B1836" s="3">
        <v>96</v>
      </c>
      <c r="C1836" s="3">
        <v>96</v>
      </c>
      <c r="D1836" s="3">
        <f>C1836-B1836</f>
        <v>0</v>
      </c>
    </row>
    <row r="1837" spans="1:4">
      <c r="A1837" s="12">
        <v>45299</v>
      </c>
      <c r="B1837" s="3">
        <v>96</v>
      </c>
      <c r="C1837" s="3">
        <v>96</v>
      </c>
      <c r="D1837" s="3">
        <f>C1837-B1837</f>
        <v>0</v>
      </c>
    </row>
    <row r="1838" spans="1:4">
      <c r="A1838" s="12">
        <v>45300</v>
      </c>
      <c r="B1838" s="3">
        <v>96</v>
      </c>
      <c r="C1838" s="3">
        <v>96</v>
      </c>
      <c r="D1838" s="3">
        <f>C1838-B1838</f>
        <v>0</v>
      </c>
    </row>
    <row r="1839" spans="1:4">
      <c r="A1839" s="12">
        <v>45301</v>
      </c>
      <c r="B1839" s="3">
        <v>96</v>
      </c>
      <c r="C1839" s="3">
        <v>96</v>
      </c>
      <c r="D1839" s="3">
        <f>C1839-B1839</f>
        <v>0</v>
      </c>
    </row>
    <row r="1840" spans="1:4">
      <c r="A1840" s="12">
        <v>45302</v>
      </c>
      <c r="B1840" s="3">
        <v>96</v>
      </c>
      <c r="C1840" s="3">
        <v>96</v>
      </c>
      <c r="D1840" s="3">
        <f>C1840-B1840</f>
        <v>0</v>
      </c>
    </row>
    <row r="1841" spans="1:4">
      <c r="A1841" s="12">
        <v>45303</v>
      </c>
      <c r="B1841" s="3">
        <v>96</v>
      </c>
      <c r="C1841" s="3">
        <v>96</v>
      </c>
      <c r="D1841" s="3">
        <f>C1841-B1841</f>
        <v>0</v>
      </c>
    </row>
    <row r="1842" spans="1:4">
      <c r="A1842" s="12">
        <v>45304</v>
      </c>
      <c r="B1842" s="3">
        <v>96</v>
      </c>
      <c r="C1842" s="3">
        <v>96</v>
      </c>
      <c r="D1842" s="3">
        <f>C1842-B1842</f>
        <v>0</v>
      </c>
    </row>
    <row r="1843" spans="1:4">
      <c r="A1843" s="12">
        <v>45305</v>
      </c>
      <c r="B1843" s="3">
        <v>96</v>
      </c>
      <c r="C1843" s="3">
        <v>96</v>
      </c>
      <c r="D1843" s="3">
        <f>C1843-B1843</f>
        <v>0</v>
      </c>
    </row>
    <row r="1844" spans="1:4">
      <c r="A1844" s="12">
        <v>45306</v>
      </c>
      <c r="B1844" s="3">
        <v>96</v>
      </c>
      <c r="C1844" s="3">
        <v>96</v>
      </c>
      <c r="D1844" s="3">
        <f>C1844-B1844</f>
        <v>0</v>
      </c>
    </row>
    <row r="1845" spans="1:4">
      <c r="A1845" s="12">
        <v>45307</v>
      </c>
      <c r="B1845" s="3">
        <v>96</v>
      </c>
      <c r="C1845" s="3">
        <v>96</v>
      </c>
      <c r="D1845" s="3">
        <f>C1845-B1845</f>
        <v>0</v>
      </c>
    </row>
    <row r="1846" spans="1:4">
      <c r="A1846" s="12">
        <v>45308</v>
      </c>
      <c r="B1846" s="3">
        <v>96</v>
      </c>
      <c r="C1846" s="3">
        <v>96</v>
      </c>
      <c r="D1846" s="3">
        <f>C1846-B1846</f>
        <v>0</v>
      </c>
    </row>
    <row r="1847" spans="1:4">
      <c r="A1847" s="12">
        <v>45309</v>
      </c>
      <c r="B1847" s="3">
        <v>96</v>
      </c>
      <c r="C1847" s="3">
        <v>96</v>
      </c>
      <c r="D1847" s="3">
        <f>C1847-B1847</f>
        <v>0</v>
      </c>
    </row>
    <row r="1848" spans="1:4">
      <c r="A1848" s="12">
        <v>45310</v>
      </c>
      <c r="B1848" s="3">
        <v>96</v>
      </c>
      <c r="C1848" s="3">
        <v>96</v>
      </c>
      <c r="D1848" s="3">
        <f>C1848-B1848</f>
        <v>0</v>
      </c>
    </row>
    <row r="1849" spans="1:4">
      <c r="A1849" s="12">
        <v>45311</v>
      </c>
      <c r="B1849" s="3">
        <v>96</v>
      </c>
      <c r="C1849" s="3">
        <v>96</v>
      </c>
      <c r="D1849" s="3">
        <f>C1849-B1849</f>
        <v>0</v>
      </c>
    </row>
    <row r="1850" spans="1:4">
      <c r="A1850" s="12">
        <v>45312</v>
      </c>
      <c r="B1850" s="3">
        <v>96</v>
      </c>
      <c r="C1850" s="3">
        <v>96</v>
      </c>
      <c r="D1850" s="3">
        <f>C1850-B1850</f>
        <v>0</v>
      </c>
    </row>
    <row r="1851" spans="1:4">
      <c r="A1851" s="12">
        <v>45313</v>
      </c>
      <c r="B1851" s="3">
        <v>96</v>
      </c>
      <c r="C1851" s="3">
        <v>96</v>
      </c>
      <c r="D1851" s="3">
        <f>C1851-B1851</f>
        <v>0</v>
      </c>
    </row>
    <row r="1852" spans="1:4">
      <c r="A1852" s="12">
        <v>45314</v>
      </c>
      <c r="B1852" s="3">
        <v>96</v>
      </c>
      <c r="C1852" s="3">
        <v>96</v>
      </c>
      <c r="D1852" s="3">
        <f>C1852-B1852</f>
        <v>0</v>
      </c>
    </row>
    <row r="1853" spans="1:4">
      <c r="A1853" s="12">
        <v>45315</v>
      </c>
      <c r="B1853" s="3">
        <v>96</v>
      </c>
      <c r="C1853" s="3">
        <v>96</v>
      </c>
      <c r="D1853" s="3">
        <f>C1853-B1853</f>
        <v>0</v>
      </c>
    </row>
    <row r="1854" spans="1:4">
      <c r="A1854" s="12">
        <v>45316</v>
      </c>
      <c r="B1854" s="3">
        <v>96</v>
      </c>
      <c r="C1854" s="3">
        <v>96</v>
      </c>
      <c r="D1854" s="3">
        <f>C1854-B1854</f>
        <v>0</v>
      </c>
    </row>
    <row r="1855" spans="1:4">
      <c r="A1855" s="12">
        <v>45317</v>
      </c>
      <c r="B1855" s="3">
        <v>96</v>
      </c>
      <c r="C1855" s="3">
        <v>96</v>
      </c>
      <c r="D1855" s="3">
        <f>C1855-B1855</f>
        <v>0</v>
      </c>
    </row>
    <row r="1856" spans="1:4">
      <c r="A1856" s="12">
        <v>45318</v>
      </c>
      <c r="B1856" s="3">
        <v>96</v>
      </c>
      <c r="C1856" s="3">
        <v>96</v>
      </c>
      <c r="D1856" s="3">
        <f>C1856-B1856</f>
        <v>0</v>
      </c>
    </row>
    <row r="1857" spans="1:4">
      <c r="A1857" s="12">
        <v>45319</v>
      </c>
      <c r="B1857" s="3">
        <v>96</v>
      </c>
      <c r="C1857" s="3">
        <v>96</v>
      </c>
      <c r="D1857" s="3">
        <f>C1857-B1857</f>
        <v>0</v>
      </c>
    </row>
    <row r="1858" spans="1:4">
      <c r="A1858" s="12">
        <v>45320</v>
      </c>
      <c r="B1858" s="3">
        <v>96</v>
      </c>
      <c r="C1858" s="3">
        <v>96</v>
      </c>
      <c r="D1858" s="3">
        <f>C1858-B1858</f>
        <v>0</v>
      </c>
    </row>
    <row r="1859" spans="1:4">
      <c r="A1859" s="12">
        <v>45321</v>
      </c>
      <c r="B1859" s="3">
        <v>96</v>
      </c>
      <c r="C1859" s="3">
        <v>96</v>
      </c>
      <c r="D1859" s="3">
        <f>C1859-B1859</f>
        <v>0</v>
      </c>
    </row>
    <row r="1860" spans="1:4">
      <c r="A1860" s="12">
        <v>45322</v>
      </c>
      <c r="B1860" s="3">
        <v>96</v>
      </c>
      <c r="C1860" s="3">
        <v>96</v>
      </c>
      <c r="D1860" s="3">
        <f>C1860-B1860</f>
        <v>0</v>
      </c>
    </row>
    <row r="1861" spans="1:4">
      <c r="A1861" s="12">
        <v>45323</v>
      </c>
      <c r="B1861" s="3">
        <v>96</v>
      </c>
      <c r="C1861" s="3">
        <v>96</v>
      </c>
      <c r="D1861" s="3">
        <f>C1861-B1861</f>
        <v>0</v>
      </c>
    </row>
    <row r="1862" spans="1:4">
      <c r="A1862" s="12">
        <v>45324</v>
      </c>
      <c r="B1862" s="3">
        <v>96</v>
      </c>
      <c r="C1862" s="3">
        <v>96</v>
      </c>
      <c r="D1862" s="3">
        <f>C1862-B1862</f>
        <v>0</v>
      </c>
    </row>
    <row r="1863" spans="1:4">
      <c r="A1863" s="12">
        <v>45325</v>
      </c>
      <c r="B1863" s="3">
        <v>96</v>
      </c>
      <c r="C1863" s="3">
        <v>96</v>
      </c>
      <c r="D1863" s="3">
        <f>C1863-B1863</f>
        <v>0</v>
      </c>
    </row>
    <row r="1864" spans="1:4">
      <c r="A1864" s="12">
        <v>45326</v>
      </c>
      <c r="B1864" s="3">
        <v>96</v>
      </c>
      <c r="C1864" s="3">
        <v>96</v>
      </c>
      <c r="D1864" s="3">
        <f>C1864-B1864</f>
        <v>0</v>
      </c>
    </row>
    <row r="1865" spans="1:4">
      <c r="A1865" s="12">
        <v>45327</v>
      </c>
      <c r="B1865" s="3">
        <v>96</v>
      </c>
      <c r="C1865" s="3">
        <v>96</v>
      </c>
      <c r="D1865" s="3">
        <f>C1865-B1865</f>
        <v>0</v>
      </c>
    </row>
    <row r="1866" spans="1:4">
      <c r="A1866" s="12">
        <v>45328</v>
      </c>
      <c r="B1866" s="3">
        <v>96</v>
      </c>
      <c r="C1866" s="3">
        <v>96</v>
      </c>
      <c r="D1866" s="3">
        <f>C1866-B1866</f>
        <v>0</v>
      </c>
    </row>
    <row r="1867" spans="1:4">
      <c r="A1867" s="12">
        <v>45329</v>
      </c>
      <c r="B1867" s="3">
        <v>96</v>
      </c>
      <c r="C1867" s="3">
        <v>96</v>
      </c>
      <c r="D1867" s="3">
        <f>C1867-B1867</f>
        <v>0</v>
      </c>
    </row>
    <row r="1868" spans="1:4">
      <c r="A1868" s="12">
        <v>45330</v>
      </c>
      <c r="B1868" s="3">
        <v>96</v>
      </c>
      <c r="C1868" s="3">
        <v>96</v>
      </c>
      <c r="D1868" s="3">
        <f>C1868-B1868</f>
        <v>0</v>
      </c>
    </row>
    <row r="1869" spans="1:4">
      <c r="A1869" s="12">
        <v>45331</v>
      </c>
      <c r="B1869" s="3">
        <v>96</v>
      </c>
      <c r="C1869" s="3">
        <v>96</v>
      </c>
      <c r="D1869" s="3">
        <f>C1869-B1869</f>
        <v>0</v>
      </c>
    </row>
    <row r="1870" spans="1:4">
      <c r="A1870" s="12">
        <v>45332</v>
      </c>
      <c r="B1870" s="3">
        <v>96</v>
      </c>
      <c r="C1870" s="3">
        <v>96</v>
      </c>
      <c r="D1870" s="3">
        <f>C1870-B1870</f>
        <v>0</v>
      </c>
    </row>
    <row r="1871" spans="1:4">
      <c r="A1871" s="12">
        <v>45333</v>
      </c>
      <c r="B1871" s="3">
        <v>96</v>
      </c>
      <c r="C1871" s="3">
        <v>96</v>
      </c>
      <c r="D1871" s="3">
        <f>C1871-B1871</f>
        <v>0</v>
      </c>
    </row>
    <row r="1872" spans="1:4">
      <c r="A1872" s="12">
        <v>45334</v>
      </c>
      <c r="B1872" s="3">
        <v>96</v>
      </c>
      <c r="C1872" s="3">
        <v>96</v>
      </c>
      <c r="D1872" s="3">
        <f>C1872-B1872</f>
        <v>0</v>
      </c>
    </row>
    <row r="1873" spans="1:4">
      <c r="A1873" s="12">
        <v>45335</v>
      </c>
      <c r="B1873" s="3">
        <v>96</v>
      </c>
      <c r="C1873" s="3">
        <v>96</v>
      </c>
      <c r="D1873" s="3">
        <f>C1873-B1873</f>
        <v>0</v>
      </c>
    </row>
    <row r="1874" spans="1:4">
      <c r="A1874" s="12">
        <v>45336</v>
      </c>
      <c r="B1874" s="3">
        <v>96</v>
      </c>
      <c r="C1874" s="3">
        <v>96</v>
      </c>
      <c r="D1874" s="3">
        <f>C1874-B1874</f>
        <v>0</v>
      </c>
    </row>
    <row r="1875" spans="1:4">
      <c r="A1875" s="12">
        <v>45337</v>
      </c>
      <c r="B1875" s="3">
        <v>96</v>
      </c>
      <c r="C1875" s="3">
        <v>96</v>
      </c>
      <c r="D1875" s="3">
        <f>C1875-B1875</f>
        <v>0</v>
      </c>
    </row>
    <row r="1876" spans="1:4">
      <c r="A1876" s="12">
        <v>45338</v>
      </c>
      <c r="B1876" s="3">
        <v>96</v>
      </c>
      <c r="C1876" s="3">
        <v>96</v>
      </c>
      <c r="D1876" s="3">
        <f>C1876-B1876</f>
        <v>0</v>
      </c>
    </row>
    <row r="1877" spans="1:4">
      <c r="A1877" s="12">
        <v>45339</v>
      </c>
      <c r="B1877" s="3">
        <v>96</v>
      </c>
      <c r="C1877" s="3">
        <v>96</v>
      </c>
      <c r="D1877" s="3">
        <f>C1877-B1877</f>
        <v>0</v>
      </c>
    </row>
    <row r="1878" spans="1:4">
      <c r="A1878" s="12">
        <v>45340</v>
      </c>
      <c r="B1878" s="3">
        <v>96</v>
      </c>
      <c r="C1878" s="3">
        <v>96</v>
      </c>
      <c r="D1878" s="3">
        <f>C1878-B1878</f>
        <v>0</v>
      </c>
    </row>
    <row r="1879" spans="1:4">
      <c r="A1879" s="12">
        <v>45341</v>
      </c>
      <c r="B1879" s="3">
        <v>96</v>
      </c>
      <c r="C1879" s="3">
        <v>96</v>
      </c>
      <c r="D1879" s="3">
        <f>C1879-B1879</f>
        <v>0</v>
      </c>
    </row>
    <row r="1880" spans="1:4">
      <c r="A1880" s="12">
        <v>45342</v>
      </c>
      <c r="B1880" s="3">
        <v>96</v>
      </c>
      <c r="C1880" s="3">
        <v>96</v>
      </c>
      <c r="D1880" s="3">
        <f>C1880-B1880</f>
        <v>0</v>
      </c>
    </row>
    <row r="1881" spans="1:4">
      <c r="A1881" s="12">
        <v>45343</v>
      </c>
      <c r="B1881" s="3">
        <v>96</v>
      </c>
      <c r="C1881" s="3">
        <v>96</v>
      </c>
      <c r="D1881" s="3">
        <f>C1881-B1881</f>
        <v>0</v>
      </c>
    </row>
    <row r="1882" spans="1:4">
      <c r="A1882" s="12">
        <v>45344</v>
      </c>
      <c r="B1882" s="3">
        <v>96</v>
      </c>
      <c r="C1882" s="3">
        <v>96</v>
      </c>
      <c r="D1882" s="3">
        <f>C1882-B1882</f>
        <v>0</v>
      </c>
    </row>
    <row r="1883" spans="1:4">
      <c r="A1883" s="12">
        <v>45345</v>
      </c>
      <c r="B1883" s="3">
        <v>96</v>
      </c>
      <c r="C1883" s="3">
        <v>96</v>
      </c>
      <c r="D1883" s="3">
        <f>C1883-B1883</f>
        <v>0</v>
      </c>
    </row>
    <row r="1884" spans="1:4">
      <c r="A1884" s="12">
        <v>45346</v>
      </c>
      <c r="B1884" s="3">
        <v>96</v>
      </c>
      <c r="C1884" s="3">
        <v>96</v>
      </c>
      <c r="D1884" s="3">
        <f>C1884-B1884</f>
        <v>0</v>
      </c>
    </row>
    <row r="1885" spans="1:4">
      <c r="A1885" s="12">
        <v>45347</v>
      </c>
      <c r="B1885" s="3">
        <v>96</v>
      </c>
      <c r="C1885" s="3">
        <v>96</v>
      </c>
      <c r="D1885" s="3">
        <f>C1885-B1885</f>
        <v>0</v>
      </c>
    </row>
    <row r="1886" spans="1:4">
      <c r="A1886" s="12">
        <v>45348</v>
      </c>
      <c r="B1886" s="3">
        <v>96</v>
      </c>
      <c r="C1886" s="3">
        <v>96</v>
      </c>
      <c r="D1886" s="3">
        <f>C1886-B1886</f>
        <v>0</v>
      </c>
    </row>
    <row r="1887" spans="1:4">
      <c r="A1887" s="12">
        <v>45349</v>
      </c>
      <c r="B1887" s="3">
        <v>96</v>
      </c>
      <c r="C1887" s="3">
        <v>96</v>
      </c>
      <c r="D1887" s="3">
        <f>C1887-B1887</f>
        <v>0</v>
      </c>
    </row>
    <row r="1888" spans="1:4">
      <c r="A1888" s="12">
        <v>45350</v>
      </c>
      <c r="B1888" s="3">
        <v>96</v>
      </c>
      <c r="C1888" s="3">
        <v>96</v>
      </c>
      <c r="D1888" s="3">
        <f>C1888-B1888</f>
        <v>0</v>
      </c>
    </row>
    <row r="1889" spans="1:4">
      <c r="A1889" s="12">
        <v>45351</v>
      </c>
      <c r="B1889" s="3">
        <v>96</v>
      </c>
      <c r="C1889" s="3">
        <v>96</v>
      </c>
      <c r="D1889" s="3">
        <f>C1889-B1889</f>
        <v>0</v>
      </c>
    </row>
    <row r="1890" spans="1:4">
      <c r="A1890" s="12">
        <v>45352</v>
      </c>
      <c r="B1890" s="3">
        <v>96</v>
      </c>
      <c r="C1890" s="3">
        <v>96</v>
      </c>
      <c r="D1890" s="3">
        <f>C1890-B1890</f>
        <v>0</v>
      </c>
    </row>
    <row r="1891" spans="1:4">
      <c r="A1891" s="12">
        <v>45353</v>
      </c>
      <c r="B1891" s="3">
        <v>96</v>
      </c>
      <c r="C1891" s="3">
        <v>96</v>
      </c>
      <c r="D1891" s="3">
        <f>C1891-B1891</f>
        <v>0</v>
      </c>
    </row>
    <row r="1892" spans="1:4">
      <c r="A1892" s="12">
        <v>45354</v>
      </c>
      <c r="B1892" s="3">
        <v>96</v>
      </c>
      <c r="C1892" s="3">
        <v>96</v>
      </c>
      <c r="D1892" s="3">
        <f>C1892-B1892</f>
        <v>0</v>
      </c>
    </row>
    <row r="1893" spans="1:4">
      <c r="A1893" s="12">
        <v>45355</v>
      </c>
      <c r="B1893" s="3">
        <v>96</v>
      </c>
      <c r="C1893" s="3">
        <v>96</v>
      </c>
      <c r="D1893" s="3">
        <f>C1893-B1893</f>
        <v>0</v>
      </c>
    </row>
    <row r="1894" spans="1:4">
      <c r="A1894" s="12">
        <v>45356</v>
      </c>
      <c r="B1894" s="3">
        <v>96</v>
      </c>
      <c r="C1894" s="3">
        <v>96</v>
      </c>
      <c r="D1894" s="3">
        <f>C1894-B1894</f>
        <v>0</v>
      </c>
    </row>
    <row r="1895" spans="1:4">
      <c r="A1895" s="12">
        <v>45357</v>
      </c>
      <c r="B1895" s="3">
        <v>96</v>
      </c>
      <c r="C1895" s="3">
        <v>96</v>
      </c>
      <c r="D1895" s="3">
        <f>C1895-B1895</f>
        <v>0</v>
      </c>
    </row>
    <row r="1896" spans="1:4">
      <c r="A1896" s="12">
        <v>45358</v>
      </c>
      <c r="B1896" s="3">
        <v>96</v>
      </c>
      <c r="C1896" s="3">
        <v>96</v>
      </c>
      <c r="D1896" s="3">
        <f>C1896-B1896</f>
        <v>0</v>
      </c>
    </row>
    <row r="1897" spans="1:4">
      <c r="A1897" s="12">
        <v>45359</v>
      </c>
      <c r="B1897" s="3">
        <v>96</v>
      </c>
      <c r="C1897" s="3">
        <v>96</v>
      </c>
      <c r="D1897" s="3">
        <f>C1897-B1897</f>
        <v>0</v>
      </c>
    </row>
    <row r="1898" spans="1:4">
      <c r="A1898" s="12">
        <v>45360</v>
      </c>
      <c r="B1898" s="3">
        <v>96</v>
      </c>
      <c r="C1898" s="3">
        <v>96</v>
      </c>
      <c r="D1898" s="3">
        <f>C1898-B1898</f>
        <v>0</v>
      </c>
    </row>
    <row r="1899" spans="1:4">
      <c r="A1899" s="12">
        <v>45361</v>
      </c>
      <c r="B1899" s="3">
        <v>96</v>
      </c>
      <c r="C1899" s="3">
        <v>96</v>
      </c>
      <c r="D1899" s="3">
        <f>C1899-B1899</f>
        <v>0</v>
      </c>
    </row>
    <row r="1900" spans="1:4">
      <c r="A1900" s="12">
        <v>45362</v>
      </c>
      <c r="B1900" s="3">
        <v>96</v>
      </c>
      <c r="C1900" s="3">
        <v>96</v>
      </c>
      <c r="D1900" s="3">
        <f>C1900-B1900</f>
        <v>0</v>
      </c>
    </row>
    <row r="1901" spans="1:4">
      <c r="A1901" s="12">
        <v>45363</v>
      </c>
      <c r="B1901" s="3">
        <v>96</v>
      </c>
      <c r="C1901" s="3">
        <v>96</v>
      </c>
      <c r="D1901" s="3">
        <f>C1901-B1901</f>
        <v>0</v>
      </c>
    </row>
    <row r="1902" spans="1:4">
      <c r="A1902" s="12">
        <v>45364</v>
      </c>
      <c r="B1902" s="3">
        <v>96</v>
      </c>
      <c r="C1902" s="3">
        <v>96</v>
      </c>
      <c r="D1902" s="3">
        <f>C1902-B1902</f>
        <v>0</v>
      </c>
    </row>
    <row r="1903" spans="1:4">
      <c r="A1903" s="12">
        <v>45365</v>
      </c>
      <c r="B1903" s="3">
        <v>96</v>
      </c>
      <c r="C1903" s="3">
        <v>96</v>
      </c>
      <c r="D1903" s="3">
        <f>C1903-B1903</f>
        <v>0</v>
      </c>
    </row>
    <row r="1904" spans="1:4">
      <c r="A1904" s="12">
        <v>45366</v>
      </c>
      <c r="B1904" s="3">
        <v>96</v>
      </c>
      <c r="C1904" s="3">
        <v>96</v>
      </c>
      <c r="D1904" s="3">
        <f>C1904-B1904</f>
        <v>0</v>
      </c>
    </row>
    <row r="1905" spans="1:4">
      <c r="A1905" s="12">
        <v>45367</v>
      </c>
      <c r="B1905" s="3">
        <v>96</v>
      </c>
      <c r="C1905" s="3">
        <v>96</v>
      </c>
      <c r="D1905" s="3">
        <f>C1905-B1905</f>
        <v>0</v>
      </c>
    </row>
    <row r="1906" spans="1:4">
      <c r="A1906" s="12">
        <v>45368</v>
      </c>
      <c r="B1906" s="3">
        <v>96</v>
      </c>
      <c r="C1906" s="3">
        <v>96</v>
      </c>
      <c r="D1906" s="3">
        <f>C1906-B1906</f>
        <v>0</v>
      </c>
    </row>
    <row r="1907" spans="1:4">
      <c r="A1907" s="12">
        <v>45369</v>
      </c>
      <c r="B1907" s="3">
        <v>96</v>
      </c>
      <c r="C1907" s="3">
        <v>96</v>
      </c>
      <c r="D1907" s="3">
        <f>C1907-B1907</f>
        <v>0</v>
      </c>
    </row>
    <row r="1908" spans="1:4">
      <c r="A1908" s="12">
        <v>45370</v>
      </c>
      <c r="B1908" s="3">
        <v>96</v>
      </c>
      <c r="C1908" s="3">
        <v>96</v>
      </c>
      <c r="D1908" s="3">
        <f>C1908-B1908</f>
        <v>0</v>
      </c>
    </row>
    <row r="1909" spans="1:4">
      <c r="A1909" s="12">
        <v>45371</v>
      </c>
      <c r="B1909" s="3">
        <v>96</v>
      </c>
      <c r="C1909" s="3">
        <v>96</v>
      </c>
      <c r="D1909" s="3">
        <f>C1909-B1909</f>
        <v>0</v>
      </c>
    </row>
    <row r="1910" spans="1:4">
      <c r="A1910" s="12">
        <v>45372</v>
      </c>
      <c r="B1910" s="3">
        <v>96</v>
      </c>
      <c r="C1910" s="3">
        <v>96</v>
      </c>
      <c r="D1910" s="3">
        <f>C1910-B1910</f>
        <v>0</v>
      </c>
    </row>
    <row r="1911" spans="1:4">
      <c r="A1911" s="12">
        <v>45373</v>
      </c>
      <c r="B1911" s="3">
        <v>96</v>
      </c>
      <c r="C1911" s="3">
        <v>96</v>
      </c>
      <c r="D1911" s="3">
        <f>C1911-B1911</f>
        <v>0</v>
      </c>
    </row>
    <row r="1912" spans="1:4">
      <c r="A1912" s="12">
        <v>45374</v>
      </c>
      <c r="B1912" s="3">
        <v>96</v>
      </c>
      <c r="C1912" s="3">
        <v>96</v>
      </c>
      <c r="D1912" s="3">
        <f>C1912-B1912</f>
        <v>0</v>
      </c>
    </row>
    <row r="1913" spans="1:4">
      <c r="A1913" s="12">
        <v>45375</v>
      </c>
      <c r="B1913" s="3">
        <v>96</v>
      </c>
      <c r="C1913" s="3">
        <v>96</v>
      </c>
      <c r="D1913" s="3">
        <f>C1913-B1913</f>
        <v>0</v>
      </c>
    </row>
    <row r="1914" spans="1:4">
      <c r="A1914" s="12">
        <v>45376</v>
      </c>
      <c r="B1914" s="3">
        <v>96</v>
      </c>
      <c r="C1914" s="3">
        <v>96</v>
      </c>
      <c r="D1914" s="3">
        <f>C1914-B1914</f>
        <v>0</v>
      </c>
    </row>
    <row r="1915" spans="1:4">
      <c r="A1915" s="12">
        <v>45377</v>
      </c>
      <c r="B1915" s="3">
        <v>96</v>
      </c>
      <c r="C1915" s="3">
        <v>96</v>
      </c>
      <c r="D1915" s="3">
        <f>C1915-B1915</f>
        <v>0</v>
      </c>
    </row>
    <row r="1916" spans="1:4">
      <c r="A1916" s="12">
        <v>45378</v>
      </c>
      <c r="B1916" s="3">
        <v>96</v>
      </c>
      <c r="C1916" s="3">
        <v>96</v>
      </c>
      <c r="D1916" s="3">
        <f>C1916-B1916</f>
        <v>0</v>
      </c>
    </row>
    <row r="1917" spans="1:4">
      <c r="A1917" s="12">
        <v>45379</v>
      </c>
      <c r="B1917" s="3">
        <v>96</v>
      </c>
      <c r="C1917" s="3">
        <v>96</v>
      </c>
      <c r="D1917" s="3">
        <f>C1917-B1917</f>
        <v>0</v>
      </c>
    </row>
    <row r="1918" spans="1:4">
      <c r="A1918" s="12">
        <v>45380</v>
      </c>
      <c r="B1918" s="3">
        <v>96</v>
      </c>
      <c r="C1918" s="3">
        <v>96</v>
      </c>
      <c r="D1918" s="3">
        <f>C1918-B1918</f>
        <v>0</v>
      </c>
    </row>
    <row r="1919" spans="1:4">
      <c r="A1919" s="12">
        <v>45381</v>
      </c>
      <c r="B1919" s="3">
        <v>96</v>
      </c>
      <c r="C1919" s="3">
        <v>96</v>
      </c>
      <c r="D1919" s="3">
        <f>C1919-B1919</f>
        <v>0</v>
      </c>
    </row>
    <row r="1920" spans="1:4">
      <c r="A1920" s="12">
        <v>45382</v>
      </c>
      <c r="B1920" s="3">
        <v>92</v>
      </c>
      <c r="C1920" s="3">
        <v>92</v>
      </c>
      <c r="D1920" s="3">
        <f>C1920-B1920</f>
        <v>0</v>
      </c>
    </row>
    <row r="1921" spans="1:4">
      <c r="A1921" s="12">
        <v>45383</v>
      </c>
      <c r="B1921" s="3">
        <v>96</v>
      </c>
      <c r="C1921" s="3">
        <v>96</v>
      </c>
      <c r="D1921" s="3">
        <f>C1921-B1921</f>
        <v>0</v>
      </c>
    </row>
    <row r="1922" spans="1:4">
      <c r="A1922" s="12">
        <v>45384</v>
      </c>
      <c r="B1922" s="3">
        <v>96</v>
      </c>
      <c r="C1922" s="3">
        <v>96</v>
      </c>
      <c r="D1922" s="3">
        <f>C1922-B1922</f>
        <v>0</v>
      </c>
    </row>
    <row r="1923" spans="1:4">
      <c r="A1923" s="12">
        <v>45385</v>
      </c>
      <c r="B1923" s="3">
        <v>96</v>
      </c>
      <c r="C1923" s="3">
        <v>96</v>
      </c>
      <c r="D1923" s="3">
        <f>C1923-B1923</f>
        <v>0</v>
      </c>
    </row>
    <row r="1924" spans="1:4">
      <c r="A1924" s="12">
        <v>45386</v>
      </c>
      <c r="B1924" s="3">
        <v>96</v>
      </c>
      <c r="C1924" s="3">
        <v>96</v>
      </c>
      <c r="D1924" s="3">
        <f>C1924-B1924</f>
        <v>0</v>
      </c>
    </row>
    <row r="1925" spans="1:4">
      <c r="A1925" s="12">
        <v>45387</v>
      </c>
      <c r="B1925" s="3">
        <v>96</v>
      </c>
      <c r="C1925" s="3">
        <v>96</v>
      </c>
      <c r="D1925" s="3">
        <f>C1925-B1925</f>
        <v>0</v>
      </c>
    </row>
    <row r="1926" spans="1:4">
      <c r="A1926" s="12">
        <v>45388</v>
      </c>
      <c r="B1926" s="3">
        <v>96</v>
      </c>
      <c r="C1926" s="3">
        <v>96</v>
      </c>
      <c r="D1926" s="3">
        <f>C1926-B1926</f>
        <v>0</v>
      </c>
    </row>
    <row r="1927" spans="1:4">
      <c r="A1927" s="12">
        <v>45389</v>
      </c>
      <c r="B1927" s="3">
        <v>96</v>
      </c>
      <c r="C1927" s="3">
        <v>96</v>
      </c>
      <c r="D1927" s="3">
        <f>C1927-B1927</f>
        <v>0</v>
      </c>
    </row>
    <row r="1928" spans="1:4">
      <c r="A1928" s="12">
        <v>45390</v>
      </c>
      <c r="B1928" s="3">
        <v>96</v>
      </c>
      <c r="C1928" s="3">
        <v>96</v>
      </c>
      <c r="D1928" s="3">
        <f>C1928-B1928</f>
        <v>0</v>
      </c>
    </row>
    <row r="1929" spans="1:4">
      <c r="A1929" s="12">
        <v>45391</v>
      </c>
      <c r="B1929" s="3">
        <v>96</v>
      </c>
      <c r="C1929" s="3">
        <v>96</v>
      </c>
      <c r="D1929" s="3">
        <f>C1929-B1929</f>
        <v>0</v>
      </c>
    </row>
    <row r="1930" spans="1:4">
      <c r="A1930" s="12">
        <v>45392</v>
      </c>
      <c r="B1930" s="3">
        <v>96</v>
      </c>
      <c r="C1930" s="3">
        <v>96</v>
      </c>
      <c r="D1930" s="3">
        <f>C1930-B1930</f>
        <v>0</v>
      </c>
    </row>
    <row r="1931" spans="1:4">
      <c r="A1931" s="12">
        <v>45393</v>
      </c>
      <c r="B1931" s="3">
        <v>96</v>
      </c>
      <c r="C1931" s="3">
        <v>96</v>
      </c>
      <c r="D1931" s="3">
        <f>C1931-B1931</f>
        <v>0</v>
      </c>
    </row>
    <row r="1932" spans="1:4">
      <c r="A1932" s="12">
        <v>45394</v>
      </c>
      <c r="B1932" s="3">
        <v>96</v>
      </c>
      <c r="C1932" s="3">
        <v>96</v>
      </c>
      <c r="D1932" s="3">
        <f>C1932-B1932</f>
        <v>0</v>
      </c>
    </row>
    <row r="1933" spans="1:4">
      <c r="A1933" s="12">
        <v>45395</v>
      </c>
      <c r="B1933" s="3">
        <v>96</v>
      </c>
      <c r="C1933" s="3">
        <v>96</v>
      </c>
      <c r="D1933" s="3">
        <f>C1933-B1933</f>
        <v>0</v>
      </c>
    </row>
    <row r="1934" spans="1:4">
      <c r="A1934" s="12">
        <v>45396</v>
      </c>
      <c r="B1934" s="3">
        <v>96</v>
      </c>
      <c r="C1934" s="3">
        <v>96</v>
      </c>
      <c r="D1934" s="3">
        <f>C1934-B1934</f>
        <v>0</v>
      </c>
    </row>
    <row r="1935" spans="1:4">
      <c r="A1935" s="12">
        <v>45397</v>
      </c>
      <c r="B1935" s="3">
        <v>96</v>
      </c>
      <c r="C1935" s="3">
        <v>96</v>
      </c>
      <c r="D1935" s="3">
        <f>C1935-B1935</f>
        <v>0</v>
      </c>
    </row>
    <row r="1936" spans="1:4">
      <c r="A1936" s="12">
        <v>45398</v>
      </c>
      <c r="B1936" s="3">
        <v>96</v>
      </c>
      <c r="C1936" s="3">
        <v>96</v>
      </c>
      <c r="D1936" s="3">
        <f>C1936-B1936</f>
        <v>0</v>
      </c>
    </row>
    <row r="1937" spans="1:4">
      <c r="A1937" s="12">
        <v>45399</v>
      </c>
      <c r="B1937" s="3">
        <v>96</v>
      </c>
      <c r="C1937" s="3">
        <v>96</v>
      </c>
      <c r="D1937" s="3">
        <f>C1937-B1937</f>
        <v>0</v>
      </c>
    </row>
    <row r="1938" spans="1:4">
      <c r="A1938" s="12">
        <v>45400</v>
      </c>
      <c r="B1938" s="3">
        <v>96</v>
      </c>
      <c r="C1938" s="3">
        <v>96</v>
      </c>
      <c r="D1938" s="3">
        <f>C1938-B1938</f>
        <v>0</v>
      </c>
    </row>
    <row r="1939" spans="1:4">
      <c r="A1939" s="12">
        <v>45401</v>
      </c>
      <c r="B1939" s="3">
        <v>96</v>
      </c>
      <c r="C1939" s="3">
        <v>96</v>
      </c>
      <c r="D1939" s="3">
        <f>C1939-B1939</f>
        <v>0</v>
      </c>
    </row>
    <row r="1940" spans="1:4">
      <c r="A1940" s="12">
        <v>45402</v>
      </c>
      <c r="B1940" s="3">
        <v>96</v>
      </c>
      <c r="C1940" s="3">
        <v>96</v>
      </c>
      <c r="D1940" s="3">
        <f>C1940-B1940</f>
        <v>0</v>
      </c>
    </row>
    <row r="1941" spans="1:4">
      <c r="A1941" s="12">
        <v>45403</v>
      </c>
      <c r="B1941" s="3">
        <v>96</v>
      </c>
      <c r="C1941" s="3">
        <v>96</v>
      </c>
      <c r="D1941" s="3">
        <f>C1941-B1941</f>
        <v>0</v>
      </c>
    </row>
    <row r="1942" spans="1:4">
      <c r="A1942" s="12">
        <v>45404</v>
      </c>
      <c r="B1942" s="3">
        <v>96</v>
      </c>
      <c r="C1942" s="3">
        <v>96</v>
      </c>
      <c r="D1942" s="3">
        <f>C1942-B1942</f>
        <v>0</v>
      </c>
    </row>
    <row r="1943" spans="1:4">
      <c r="A1943" s="12">
        <v>45405</v>
      </c>
      <c r="B1943" s="3">
        <v>96</v>
      </c>
      <c r="C1943" s="3">
        <v>96</v>
      </c>
      <c r="D1943" s="3">
        <f>C1943-B1943</f>
        <v>0</v>
      </c>
    </row>
    <row r="1944" spans="1:4">
      <c r="A1944" s="12">
        <v>45406</v>
      </c>
      <c r="B1944" s="3">
        <v>96</v>
      </c>
      <c r="C1944" s="3">
        <v>96</v>
      </c>
      <c r="D1944" s="3">
        <f>C1944-B1944</f>
        <v>0</v>
      </c>
    </row>
    <row r="1945" spans="1:4">
      <c r="A1945" s="12">
        <v>45407</v>
      </c>
      <c r="B1945" s="3">
        <v>96</v>
      </c>
      <c r="C1945" s="3">
        <v>96</v>
      </c>
      <c r="D1945" s="3">
        <f>C1945-B1945</f>
        <v>0</v>
      </c>
    </row>
    <row r="1946" spans="1:4">
      <c r="A1946" s="12">
        <v>45408</v>
      </c>
      <c r="B1946" s="3">
        <v>96</v>
      </c>
      <c r="C1946" s="3">
        <v>96</v>
      </c>
      <c r="D1946" s="3">
        <f>C1946-B1946</f>
        <v>0</v>
      </c>
    </row>
    <row r="1947" spans="1:4">
      <c r="A1947" s="12">
        <v>45409</v>
      </c>
      <c r="B1947" s="3">
        <v>96</v>
      </c>
      <c r="C1947" s="3">
        <v>96</v>
      </c>
      <c r="D1947" s="3">
        <f>C1947-B1947</f>
        <v>0</v>
      </c>
    </row>
    <row r="1948" spans="1:4">
      <c r="A1948" s="12">
        <v>45410</v>
      </c>
      <c r="B1948" s="3">
        <v>96</v>
      </c>
      <c r="C1948" s="3">
        <v>96</v>
      </c>
      <c r="D1948" s="3">
        <f>C1948-B1948</f>
        <v>0</v>
      </c>
    </row>
    <row r="1949" spans="1:4">
      <c r="A1949" s="12">
        <v>45411</v>
      </c>
      <c r="B1949" s="3">
        <v>96</v>
      </c>
      <c r="C1949" s="3">
        <v>96</v>
      </c>
      <c r="D1949" s="3">
        <f>C1949-B1949</f>
        <v>0</v>
      </c>
    </row>
    <row r="1950" spans="1:4">
      <c r="A1950" s="12">
        <v>45412</v>
      </c>
      <c r="B1950" s="3">
        <v>96</v>
      </c>
      <c r="C1950" s="3">
        <v>96</v>
      </c>
      <c r="D1950" s="3">
        <f>C1950-B1950</f>
        <v>0</v>
      </c>
    </row>
    <row r="1951" spans="1:4">
      <c r="A1951" s="12">
        <v>45413</v>
      </c>
      <c r="B1951" s="3">
        <v>96</v>
      </c>
      <c r="C1951" s="3">
        <v>96</v>
      </c>
      <c r="D1951" s="3">
        <f>C1951-B1951</f>
        <v>0</v>
      </c>
    </row>
    <row r="1952" spans="1:4">
      <c r="A1952" s="12">
        <v>45414</v>
      </c>
      <c r="B1952" s="3">
        <v>96</v>
      </c>
      <c r="C1952" s="3">
        <v>96</v>
      </c>
      <c r="D1952" s="3">
        <f>C1952-B1952</f>
        <v>0</v>
      </c>
    </row>
    <row r="1953" spans="1:4">
      <c r="A1953" s="12">
        <v>45415</v>
      </c>
      <c r="B1953" s="3">
        <v>96</v>
      </c>
      <c r="C1953" s="3">
        <v>96</v>
      </c>
      <c r="D1953" s="3">
        <f>C1953-B1953</f>
        <v>0</v>
      </c>
    </row>
    <row r="1954" spans="1:4">
      <c r="A1954" s="12">
        <v>45416</v>
      </c>
      <c r="B1954" s="3">
        <v>96</v>
      </c>
      <c r="C1954" s="3">
        <v>96</v>
      </c>
      <c r="D1954" s="3">
        <f>C1954-B1954</f>
        <v>0</v>
      </c>
    </row>
    <row r="1955" spans="1:4">
      <c r="A1955" s="12">
        <v>45417</v>
      </c>
      <c r="B1955" s="3">
        <v>96</v>
      </c>
      <c r="C1955" s="3">
        <v>96</v>
      </c>
      <c r="D1955" s="3">
        <f>C1955-B1955</f>
        <v>0</v>
      </c>
    </row>
    <row r="1956" spans="1:4">
      <c r="A1956" s="12">
        <v>45418</v>
      </c>
      <c r="B1956" s="3">
        <v>96</v>
      </c>
      <c r="C1956" s="3">
        <v>96</v>
      </c>
      <c r="D1956" s="3">
        <f>C1956-B1956</f>
        <v>0</v>
      </c>
    </row>
    <row r="1957" spans="1:4">
      <c r="A1957" s="12">
        <v>45419</v>
      </c>
      <c r="B1957" s="3">
        <v>96</v>
      </c>
      <c r="C1957" s="3">
        <v>96</v>
      </c>
      <c r="D1957" s="3">
        <f>C1957-B1957</f>
        <v>0</v>
      </c>
    </row>
    <row r="1958" spans="1:4">
      <c r="A1958" s="12">
        <v>45420</v>
      </c>
      <c r="B1958" s="3">
        <v>96</v>
      </c>
      <c r="C1958" s="3">
        <v>96</v>
      </c>
      <c r="D1958" s="3">
        <f>C1958-B1958</f>
        <v>0</v>
      </c>
    </row>
    <row r="1959" spans="1:4">
      <c r="A1959" s="12">
        <v>45421</v>
      </c>
      <c r="B1959" s="3">
        <v>96</v>
      </c>
      <c r="C1959" s="3">
        <v>96</v>
      </c>
      <c r="D1959" s="3">
        <f>C1959-B1959</f>
        <v>0</v>
      </c>
    </row>
    <row r="1960" spans="1:4">
      <c r="A1960" s="12">
        <v>45422</v>
      </c>
      <c r="B1960" s="3">
        <v>96</v>
      </c>
      <c r="C1960" s="3">
        <v>96</v>
      </c>
      <c r="D1960" s="3">
        <f>C1960-B1960</f>
        <v>0</v>
      </c>
    </row>
    <row r="1961" spans="1:4">
      <c r="A1961" s="12">
        <v>45423</v>
      </c>
      <c r="B1961" s="3">
        <v>96</v>
      </c>
      <c r="C1961" s="3">
        <v>96</v>
      </c>
      <c r="D1961" s="3">
        <f>C1961-B1961</f>
        <v>0</v>
      </c>
    </row>
    <row r="1962" spans="1:4">
      <c r="A1962" s="12">
        <v>45424</v>
      </c>
      <c r="B1962" s="3">
        <v>96</v>
      </c>
      <c r="C1962" s="3">
        <v>96</v>
      </c>
      <c r="D1962" s="3">
        <f>C1962-B1962</f>
        <v>0</v>
      </c>
    </row>
    <row r="1963" spans="1:4">
      <c r="A1963" s="12">
        <v>45425</v>
      </c>
      <c r="B1963" s="3">
        <v>96</v>
      </c>
      <c r="C1963" s="3">
        <v>96</v>
      </c>
      <c r="D1963" s="3">
        <f>C1963-B1963</f>
        <v>0</v>
      </c>
    </row>
    <row r="1964" spans="1:4">
      <c r="A1964" s="12">
        <v>45426</v>
      </c>
      <c r="B1964" s="3">
        <v>96</v>
      </c>
      <c r="C1964" s="3">
        <v>96</v>
      </c>
      <c r="D1964" s="3">
        <f>C1964-B1964</f>
        <v>0</v>
      </c>
    </row>
    <row r="1965" spans="1:4">
      <c r="A1965" s="12">
        <v>45427</v>
      </c>
      <c r="B1965" s="3">
        <v>96</v>
      </c>
      <c r="C1965" s="3">
        <v>96</v>
      </c>
      <c r="D1965" s="3">
        <f>C1965-B1965</f>
        <v>0</v>
      </c>
    </row>
    <row r="1966" spans="1:4">
      <c r="A1966" s="12">
        <v>45428</v>
      </c>
      <c r="B1966" s="3">
        <v>96</v>
      </c>
      <c r="C1966" s="3">
        <v>96</v>
      </c>
      <c r="D1966" s="3">
        <f>C1966-B1966</f>
        <v>0</v>
      </c>
    </row>
    <row r="1967" spans="1:4">
      <c r="A1967" s="12">
        <v>45429</v>
      </c>
      <c r="B1967" s="3">
        <v>96</v>
      </c>
      <c r="C1967" s="3">
        <v>96</v>
      </c>
      <c r="D1967" s="3">
        <f>C1967-B1967</f>
        <v>0</v>
      </c>
    </row>
    <row r="1968" spans="1:4">
      <c r="A1968" s="12">
        <v>45430</v>
      </c>
      <c r="B1968" s="3">
        <v>96</v>
      </c>
      <c r="C1968" s="3">
        <v>96</v>
      </c>
      <c r="D1968" s="3">
        <f>C1968-B1968</f>
        <v>0</v>
      </c>
    </row>
    <row r="1969" spans="1:4">
      <c r="A1969" s="12">
        <v>45431</v>
      </c>
      <c r="B1969" s="3">
        <v>96</v>
      </c>
      <c r="C1969" s="3">
        <v>96</v>
      </c>
      <c r="D1969" s="3">
        <f>C1969-B1969</f>
        <v>0</v>
      </c>
    </row>
    <row r="1970" spans="1:4">
      <c r="A1970" s="12">
        <v>45432</v>
      </c>
      <c r="B1970" s="3">
        <v>96</v>
      </c>
      <c r="C1970" s="3">
        <v>96</v>
      </c>
      <c r="D1970" s="3">
        <f>C1970-B1970</f>
        <v>0</v>
      </c>
    </row>
    <row r="1971" spans="1:4">
      <c r="A1971" s="12">
        <v>45433</v>
      </c>
      <c r="B1971" s="3">
        <v>96</v>
      </c>
      <c r="C1971" s="3">
        <v>96</v>
      </c>
      <c r="D1971" s="3">
        <f>C1971-B1971</f>
        <v>0</v>
      </c>
    </row>
    <row r="1972" spans="1:4">
      <c r="A1972" s="12">
        <v>45434</v>
      </c>
      <c r="B1972" s="3">
        <v>96</v>
      </c>
      <c r="C1972" s="3">
        <v>96</v>
      </c>
      <c r="D1972" s="3">
        <f>C1972-B1972</f>
        <v>0</v>
      </c>
    </row>
    <row r="1973" spans="1:4">
      <c r="A1973" s="12">
        <v>45435</v>
      </c>
      <c r="B1973" s="3">
        <v>96</v>
      </c>
      <c r="C1973" s="3">
        <v>96</v>
      </c>
      <c r="D1973" s="3">
        <f>C1973-B1973</f>
        <v>0</v>
      </c>
    </row>
    <row r="1974" spans="1:4">
      <c r="A1974" s="12">
        <v>45436</v>
      </c>
      <c r="B1974" s="3">
        <v>96</v>
      </c>
      <c r="C1974" s="3">
        <v>96</v>
      </c>
      <c r="D1974" s="3">
        <f>C1974-B1974</f>
        <v>0</v>
      </c>
    </row>
    <row r="1975" spans="1:4">
      <c r="A1975" s="12">
        <v>45437</v>
      </c>
      <c r="B1975" s="3">
        <v>96</v>
      </c>
      <c r="C1975" s="3">
        <v>96</v>
      </c>
      <c r="D1975" s="3">
        <f>C1975-B1975</f>
        <v>0</v>
      </c>
    </row>
    <row r="1976" spans="1:4">
      <c r="A1976" s="12">
        <v>45438</v>
      </c>
      <c r="B1976" s="3">
        <v>96</v>
      </c>
      <c r="C1976" s="3">
        <v>96</v>
      </c>
      <c r="D1976" s="3">
        <f>C1976-B1976</f>
        <v>0</v>
      </c>
    </row>
    <row r="1977" spans="1:4">
      <c r="A1977" s="12">
        <v>45439</v>
      </c>
      <c r="B1977" s="3">
        <v>96</v>
      </c>
      <c r="C1977" s="3">
        <v>96</v>
      </c>
      <c r="D1977" s="3">
        <f>C1977-B1977</f>
        <v>0</v>
      </c>
    </row>
    <row r="1978" spans="1:4">
      <c r="A1978" s="12">
        <v>45440</v>
      </c>
      <c r="B1978" s="3">
        <v>96</v>
      </c>
      <c r="C1978" s="3">
        <v>96</v>
      </c>
      <c r="D1978" s="3">
        <f>C1978-B1978</f>
        <v>0</v>
      </c>
    </row>
    <row r="1979" spans="1:4">
      <c r="A1979" s="12">
        <v>45441</v>
      </c>
      <c r="B1979" s="3">
        <v>96</v>
      </c>
      <c r="C1979" s="3">
        <v>96</v>
      </c>
      <c r="D1979" s="3">
        <f>C1979-B1979</f>
        <v>0</v>
      </c>
    </row>
    <row r="1980" spans="1:4">
      <c r="A1980" s="12">
        <v>45442</v>
      </c>
      <c r="B1980" s="3">
        <v>96</v>
      </c>
      <c r="C1980" s="3">
        <v>96</v>
      </c>
      <c r="D1980" s="3">
        <f>C1980-B1980</f>
        <v>0</v>
      </c>
    </row>
    <row r="1981" spans="1:4">
      <c r="A1981" s="12">
        <v>45443</v>
      </c>
      <c r="B1981" s="3">
        <v>96</v>
      </c>
      <c r="C1981" s="3">
        <v>96</v>
      </c>
      <c r="D1981" s="3">
        <f>C1981-B1981</f>
        <v>0</v>
      </c>
    </row>
    <row r="1982" spans="1:4">
      <c r="A1982" s="12">
        <v>45444</v>
      </c>
      <c r="B1982" s="3">
        <v>96</v>
      </c>
      <c r="C1982" s="3">
        <v>96</v>
      </c>
      <c r="D1982" s="3">
        <f>C1982-B1982</f>
        <v>0</v>
      </c>
    </row>
    <row r="1983" spans="1:4">
      <c r="A1983" s="12">
        <v>45445</v>
      </c>
      <c r="B1983" s="3">
        <v>96</v>
      </c>
      <c r="C1983" s="3">
        <v>96</v>
      </c>
      <c r="D1983" s="3">
        <f>C1983-B1983</f>
        <v>0</v>
      </c>
    </row>
    <row r="1984" spans="1:4">
      <c r="A1984" s="12">
        <v>45446</v>
      </c>
      <c r="B1984" s="3">
        <v>96</v>
      </c>
      <c r="C1984" s="3">
        <v>96</v>
      </c>
      <c r="D1984" s="3">
        <f>C1984-B1984</f>
        <v>0</v>
      </c>
    </row>
    <row r="1985" spans="1:4">
      <c r="A1985" s="12">
        <v>45447</v>
      </c>
      <c r="B1985" s="3">
        <v>96</v>
      </c>
      <c r="C1985" s="3">
        <v>96</v>
      </c>
      <c r="D1985" s="3">
        <f>C1985-B1985</f>
        <v>0</v>
      </c>
    </row>
    <row r="1986" spans="1:4">
      <c r="A1986" s="12">
        <v>45448</v>
      </c>
      <c r="B1986" s="3">
        <v>96</v>
      </c>
      <c r="C1986" s="3">
        <v>96</v>
      </c>
      <c r="D1986" s="3">
        <f>C1986-B1986</f>
        <v>0</v>
      </c>
    </row>
    <row r="1987" spans="1:4">
      <c r="A1987" s="12">
        <v>45449</v>
      </c>
      <c r="B1987" s="3">
        <v>96</v>
      </c>
      <c r="C1987" s="3">
        <v>96</v>
      </c>
      <c r="D1987" s="3">
        <f>C1987-B1987</f>
        <v>0</v>
      </c>
    </row>
    <row r="1988" spans="1:4">
      <c r="A1988" s="12">
        <v>45450</v>
      </c>
      <c r="B1988" s="3">
        <v>96</v>
      </c>
      <c r="C1988" s="3">
        <v>96</v>
      </c>
      <c r="D1988" s="3">
        <f>C1988-B1988</f>
        <v>0</v>
      </c>
    </row>
    <row r="1989" spans="1:4">
      <c r="A1989" s="12">
        <v>45451</v>
      </c>
      <c r="B1989" s="3">
        <v>96</v>
      </c>
      <c r="C1989" s="3">
        <v>96</v>
      </c>
      <c r="D1989" s="3">
        <f>C1989-B1989</f>
        <v>0</v>
      </c>
    </row>
    <row r="1990" spans="1:4">
      <c r="A1990" s="12">
        <v>45452</v>
      </c>
      <c r="B1990" s="3">
        <v>96</v>
      </c>
      <c r="C1990" s="3">
        <v>96</v>
      </c>
      <c r="D1990" s="3">
        <f>C1990-B1990</f>
        <v>0</v>
      </c>
    </row>
    <row r="1991" spans="1:4">
      <c r="A1991" s="12">
        <v>45453</v>
      </c>
      <c r="B1991" s="3">
        <v>96</v>
      </c>
      <c r="C1991" s="3">
        <v>96</v>
      </c>
      <c r="D1991" s="3">
        <f>C1991-B1991</f>
        <v>0</v>
      </c>
    </row>
    <row r="1992" spans="1:4">
      <c r="A1992" s="12">
        <v>45454</v>
      </c>
      <c r="B1992" s="3">
        <v>96</v>
      </c>
      <c r="C1992" s="3">
        <v>96</v>
      </c>
      <c r="D1992" s="3">
        <f>C1992-B1992</f>
        <v>0</v>
      </c>
    </row>
    <row r="1993" spans="1:4">
      <c r="A1993" s="12">
        <v>45455</v>
      </c>
      <c r="B1993" s="3">
        <v>96</v>
      </c>
      <c r="C1993" s="3">
        <v>96</v>
      </c>
      <c r="D1993" s="3">
        <f>C1993-B1993</f>
        <v>0</v>
      </c>
    </row>
    <row r="1994" spans="1:4">
      <c r="A1994" s="12">
        <v>45456</v>
      </c>
      <c r="B1994" s="3">
        <v>96</v>
      </c>
      <c r="C1994" s="3">
        <v>96</v>
      </c>
      <c r="D1994" s="3">
        <f>C1994-B1994</f>
        <v>0</v>
      </c>
    </row>
    <row r="1995" spans="1:4">
      <c r="A1995" s="12">
        <v>45457</v>
      </c>
      <c r="B1995" s="3">
        <v>96</v>
      </c>
      <c r="C1995" s="3">
        <v>96</v>
      </c>
      <c r="D1995" s="3">
        <f>C1995-B1995</f>
        <v>0</v>
      </c>
    </row>
    <row r="1996" spans="1:4">
      <c r="A1996" s="12">
        <v>45458</v>
      </c>
      <c r="B1996" s="3">
        <v>96</v>
      </c>
      <c r="C1996" s="3">
        <v>96</v>
      </c>
      <c r="D1996" s="3">
        <f>C1996-B1996</f>
        <v>0</v>
      </c>
    </row>
    <row r="1997" spans="1:4">
      <c r="A1997" s="12">
        <v>45459</v>
      </c>
      <c r="B1997" s="3">
        <v>96</v>
      </c>
      <c r="C1997" s="3">
        <v>96</v>
      </c>
      <c r="D1997" s="3">
        <f>C1997-B1997</f>
        <v>0</v>
      </c>
    </row>
    <row r="1998" spans="1:4">
      <c r="A1998" s="12">
        <v>45460</v>
      </c>
      <c r="B1998" s="3">
        <v>96</v>
      </c>
      <c r="C1998" s="3">
        <v>96</v>
      </c>
      <c r="D1998" s="3">
        <f>C1998-B1998</f>
        <v>0</v>
      </c>
    </row>
    <row r="1999" spans="1:4">
      <c r="A1999" s="12">
        <v>45461</v>
      </c>
      <c r="B1999" s="3">
        <v>96</v>
      </c>
      <c r="C1999" s="3">
        <v>96</v>
      </c>
      <c r="D1999" s="3">
        <f>C1999-B1999</f>
        <v>0</v>
      </c>
    </row>
    <row r="2000" spans="1:4">
      <c r="A2000" s="12">
        <v>45462</v>
      </c>
      <c r="B2000" s="3">
        <v>96</v>
      </c>
      <c r="C2000" s="3">
        <v>96</v>
      </c>
      <c r="D2000" s="3">
        <f>C2000-B2000</f>
        <v>0</v>
      </c>
    </row>
    <row r="2001" spans="1:4">
      <c r="A2001" s="12">
        <v>45463</v>
      </c>
      <c r="B2001" s="3">
        <v>96</v>
      </c>
      <c r="C2001" s="3">
        <v>96</v>
      </c>
      <c r="D2001" s="3">
        <f>C2001-B2001</f>
        <v>0</v>
      </c>
    </row>
    <row r="2002" spans="1:4">
      <c r="A2002" s="12">
        <v>45464</v>
      </c>
      <c r="B2002" s="3">
        <v>96</v>
      </c>
      <c r="C2002" s="3">
        <v>96</v>
      </c>
      <c r="D2002" s="3">
        <f>C2002-B2002</f>
        <v>0</v>
      </c>
    </row>
    <row r="2003" spans="1:4">
      <c r="A2003" s="12">
        <v>45465</v>
      </c>
      <c r="B2003" s="3">
        <v>96</v>
      </c>
      <c r="C2003" s="3">
        <v>96</v>
      </c>
      <c r="D2003" s="3">
        <f>C2003-B2003</f>
        <v>0</v>
      </c>
    </row>
    <row r="2004" spans="1:4">
      <c r="A2004" s="12">
        <v>45466</v>
      </c>
      <c r="B2004" s="3">
        <v>96</v>
      </c>
      <c r="C2004" s="3">
        <v>96</v>
      </c>
      <c r="D2004" s="3">
        <f>C2004-B2004</f>
        <v>0</v>
      </c>
    </row>
    <row r="2005" spans="1:4">
      <c r="A2005" s="12">
        <v>45467</v>
      </c>
      <c r="B2005" s="3">
        <v>96</v>
      </c>
      <c r="C2005" s="3">
        <v>96</v>
      </c>
      <c r="D2005" s="3">
        <f>C2005-B2005</f>
        <v>0</v>
      </c>
    </row>
    <row r="2006" spans="1:4">
      <c r="A2006" s="12">
        <v>45468</v>
      </c>
      <c r="B2006" s="3">
        <v>96</v>
      </c>
      <c r="C2006" s="3">
        <v>96</v>
      </c>
      <c r="D2006" s="3">
        <f>C2006-B2006</f>
        <v>0</v>
      </c>
    </row>
    <row r="2007" spans="1:4">
      <c r="A2007" s="12">
        <v>45469</v>
      </c>
      <c r="B2007" s="3">
        <v>96</v>
      </c>
      <c r="C2007" s="3">
        <v>96</v>
      </c>
      <c r="D2007" s="3">
        <f>C2007-B2007</f>
        <v>0</v>
      </c>
    </row>
    <row r="2008" spans="1:4">
      <c r="A2008" s="12">
        <v>45470</v>
      </c>
      <c r="B2008" s="3">
        <v>96</v>
      </c>
      <c r="C2008" s="3">
        <v>96</v>
      </c>
      <c r="D2008" s="3">
        <f>C2008-B2008</f>
        <v>0</v>
      </c>
    </row>
    <row r="2009" spans="1:4">
      <c r="A2009" s="12">
        <v>45471</v>
      </c>
      <c r="B2009" s="3">
        <v>96</v>
      </c>
      <c r="C2009" s="3">
        <v>96</v>
      </c>
      <c r="D2009" s="3">
        <f>C2009-B2009</f>
        <v>0</v>
      </c>
    </row>
    <row r="2010" spans="1:4">
      <c r="A2010" s="12">
        <v>45472</v>
      </c>
      <c r="B2010" s="3">
        <v>96</v>
      </c>
      <c r="C2010" s="3">
        <v>96</v>
      </c>
      <c r="D2010" s="3">
        <f>C2010-B2010</f>
        <v>0</v>
      </c>
    </row>
    <row r="2011" spans="1:4">
      <c r="A2011" s="12">
        <v>45473</v>
      </c>
      <c r="B2011" s="3">
        <v>96</v>
      </c>
      <c r="C2011" s="3">
        <v>96</v>
      </c>
      <c r="D2011" s="3">
        <f>C2011-B2011</f>
        <v>0</v>
      </c>
    </row>
    <row r="2012" spans="1:4">
      <c r="A2012" s="12">
        <v>45474</v>
      </c>
      <c r="B2012" s="3">
        <v>96</v>
      </c>
      <c r="C2012" s="3">
        <v>96</v>
      </c>
      <c r="D2012" s="3">
        <f>C2012-B2012</f>
        <v>0</v>
      </c>
    </row>
    <row r="2013" spans="1:4">
      <c r="A2013" s="12">
        <v>45475</v>
      </c>
      <c r="B2013" s="3">
        <v>96</v>
      </c>
      <c r="C2013" s="3">
        <v>96</v>
      </c>
      <c r="D2013" s="3">
        <f>C2013-B2013</f>
        <v>0</v>
      </c>
    </row>
    <row r="2014" spans="1:4">
      <c r="A2014" s="12">
        <v>45476</v>
      </c>
      <c r="B2014" s="3">
        <v>96</v>
      </c>
      <c r="C2014" s="3">
        <v>96</v>
      </c>
      <c r="D2014" s="3">
        <f>C2014-B2014</f>
        <v>0</v>
      </c>
    </row>
    <row r="2015" spans="1:4">
      <c r="A2015" s="12">
        <v>45477</v>
      </c>
      <c r="B2015" s="3">
        <v>96</v>
      </c>
      <c r="C2015" s="3">
        <v>96</v>
      </c>
      <c r="D2015" s="3">
        <f>C2015-B2015</f>
        <v>0</v>
      </c>
    </row>
    <row r="2016" spans="1:4">
      <c r="A2016" s="12">
        <v>45478</v>
      </c>
      <c r="B2016" s="3">
        <v>96</v>
      </c>
      <c r="C2016" s="3">
        <v>96</v>
      </c>
      <c r="D2016" s="3">
        <f>C2016-B2016</f>
        <v>0</v>
      </c>
    </row>
    <row r="2017" spans="1:4">
      <c r="A2017" s="12">
        <v>45479</v>
      </c>
      <c r="B2017" s="3">
        <v>96</v>
      </c>
      <c r="C2017" s="3">
        <v>96</v>
      </c>
      <c r="D2017" s="3">
        <f>C2017-B2017</f>
        <v>0</v>
      </c>
    </row>
    <row r="2018" spans="1:4">
      <c r="A2018" s="12">
        <v>45480</v>
      </c>
      <c r="B2018" s="3">
        <v>96</v>
      </c>
      <c r="C2018" s="3">
        <v>96</v>
      </c>
      <c r="D2018" s="3">
        <f>C2018-B2018</f>
        <v>0</v>
      </c>
    </row>
    <row r="2019" spans="1:4">
      <c r="A2019" s="12">
        <v>45481</v>
      </c>
      <c r="B2019" s="3">
        <v>96</v>
      </c>
      <c r="C2019" s="3">
        <v>96</v>
      </c>
      <c r="D2019" s="3">
        <f>C2019-B2019</f>
        <v>0</v>
      </c>
    </row>
    <row r="2020" spans="1:4">
      <c r="A2020" s="12">
        <v>45482</v>
      </c>
      <c r="B2020" s="3">
        <v>96</v>
      </c>
      <c r="C2020" s="3">
        <v>96</v>
      </c>
      <c r="D2020" s="3">
        <f>C2020-B2020</f>
        <v>0</v>
      </c>
    </row>
    <row r="2021" spans="1:4">
      <c r="A2021" s="12">
        <v>45483</v>
      </c>
      <c r="B2021" s="3">
        <v>96</v>
      </c>
      <c r="C2021" s="3">
        <v>96</v>
      </c>
      <c r="D2021" s="3">
        <f>C2021-B2021</f>
        <v>0</v>
      </c>
    </row>
    <row r="2022" spans="1:4">
      <c r="A2022" s="12">
        <v>45484</v>
      </c>
      <c r="B2022" s="3">
        <v>96</v>
      </c>
      <c r="C2022" s="3">
        <v>96</v>
      </c>
      <c r="D2022" s="3">
        <f>C2022-B2022</f>
        <v>0</v>
      </c>
    </row>
    <row r="2023" spans="1:4">
      <c r="A2023" s="12">
        <v>45485</v>
      </c>
      <c r="B2023" s="3">
        <v>96</v>
      </c>
      <c r="C2023" s="3">
        <v>96</v>
      </c>
      <c r="D2023" s="3">
        <f>C2023-B2023</f>
        <v>0</v>
      </c>
    </row>
    <row r="2024" spans="1:4">
      <c r="A2024" s="12">
        <v>45486</v>
      </c>
      <c r="B2024" s="3">
        <v>96</v>
      </c>
      <c r="C2024" s="3">
        <v>96</v>
      </c>
      <c r="D2024" s="3">
        <f>C2024-B2024</f>
        <v>0</v>
      </c>
    </row>
    <row r="2025" spans="1:4">
      <c r="A2025" s="12">
        <v>45487</v>
      </c>
      <c r="B2025" s="3">
        <v>96</v>
      </c>
      <c r="C2025" s="3">
        <v>96</v>
      </c>
      <c r="D2025" s="3">
        <f>C2025-B2025</f>
        <v>0</v>
      </c>
    </row>
    <row r="2026" spans="1:4">
      <c r="A2026" s="12">
        <v>45488</v>
      </c>
      <c r="B2026" s="3">
        <v>96</v>
      </c>
      <c r="C2026" s="3">
        <v>96</v>
      </c>
      <c r="D2026" s="3">
        <f>C2026-B2026</f>
        <v>0</v>
      </c>
    </row>
    <row r="2027" spans="1:4">
      <c r="A2027" s="12">
        <v>45489</v>
      </c>
      <c r="B2027" s="3">
        <v>96</v>
      </c>
      <c r="C2027" s="3">
        <v>96</v>
      </c>
      <c r="D2027" s="3">
        <f>C2027-B2027</f>
        <v>0</v>
      </c>
    </row>
    <row r="2028" spans="1:4">
      <c r="A2028" s="12">
        <v>45490</v>
      </c>
      <c r="B2028" s="3">
        <v>96</v>
      </c>
      <c r="C2028" s="3">
        <v>96</v>
      </c>
      <c r="D2028" s="3">
        <f>C2028-B2028</f>
        <v>0</v>
      </c>
    </row>
    <row r="2029" spans="1:4">
      <c r="A2029" s="12">
        <v>45491</v>
      </c>
      <c r="B2029" s="3">
        <v>96</v>
      </c>
      <c r="C2029" s="3">
        <v>96</v>
      </c>
      <c r="D2029" s="3">
        <f>C2029-B2029</f>
        <v>0</v>
      </c>
    </row>
    <row r="2030" spans="1:4">
      <c r="A2030" s="12">
        <v>45492</v>
      </c>
      <c r="B2030" s="3">
        <v>96</v>
      </c>
      <c r="C2030" s="3">
        <v>96</v>
      </c>
      <c r="D2030" s="3">
        <f>C2030-B2030</f>
        <v>0</v>
      </c>
    </row>
    <row r="2031" spans="1:4">
      <c r="A2031" s="12">
        <v>45493</v>
      </c>
      <c r="B2031" s="3">
        <v>96</v>
      </c>
      <c r="C2031" s="3">
        <v>96</v>
      </c>
      <c r="D2031" s="3">
        <f>C2031-B2031</f>
        <v>0</v>
      </c>
    </row>
    <row r="2032" spans="1:4">
      <c r="A2032" s="12">
        <v>45494</v>
      </c>
      <c r="B2032" s="3">
        <v>96</v>
      </c>
      <c r="C2032" s="3">
        <v>96</v>
      </c>
      <c r="D2032" s="3">
        <f>C2032-B2032</f>
        <v>0</v>
      </c>
    </row>
    <row r="2033" spans="1:4">
      <c r="A2033" s="12">
        <v>45495</v>
      </c>
      <c r="B2033" s="3">
        <v>96</v>
      </c>
      <c r="C2033" s="3">
        <v>96</v>
      </c>
      <c r="D2033" s="3">
        <f>C2033-B2033</f>
        <v>0</v>
      </c>
    </row>
    <row r="2034" spans="1:4">
      <c r="A2034" s="12">
        <v>45496</v>
      </c>
      <c r="B2034" s="3">
        <v>96</v>
      </c>
      <c r="C2034" s="3">
        <v>96</v>
      </c>
      <c r="D2034" s="3">
        <f>C2034-B2034</f>
        <v>0</v>
      </c>
    </row>
    <row r="2035" spans="1:4">
      <c r="A2035" s="12">
        <v>45497</v>
      </c>
      <c r="B2035" s="3">
        <v>96</v>
      </c>
      <c r="C2035" s="3">
        <v>96</v>
      </c>
      <c r="D2035" s="3">
        <f>C2035-B2035</f>
        <v>0</v>
      </c>
    </row>
    <row r="2036" spans="1:4">
      <c r="A2036" s="12">
        <v>45498</v>
      </c>
      <c r="B2036" s="3">
        <v>96</v>
      </c>
      <c r="C2036" s="3">
        <v>96</v>
      </c>
      <c r="D2036" s="3">
        <f>C2036-B2036</f>
        <v>0</v>
      </c>
    </row>
    <row r="2037" spans="1:4">
      <c r="A2037" s="12">
        <v>45499</v>
      </c>
      <c r="B2037" s="3">
        <v>96</v>
      </c>
      <c r="C2037" s="3">
        <v>96</v>
      </c>
      <c r="D2037" s="3">
        <f>C2037-B2037</f>
        <v>0</v>
      </c>
    </row>
    <row r="2038" spans="1:4">
      <c r="A2038" s="12">
        <v>45500</v>
      </c>
      <c r="B2038" s="3">
        <v>96</v>
      </c>
      <c r="C2038" s="3">
        <v>96</v>
      </c>
      <c r="D2038" s="3">
        <f>C2038-B2038</f>
        <v>0</v>
      </c>
    </row>
    <row r="2039" spans="1:4">
      <c r="A2039" s="12">
        <v>45501</v>
      </c>
      <c r="B2039" s="3">
        <v>96</v>
      </c>
      <c r="C2039" s="3">
        <v>96</v>
      </c>
      <c r="D2039" s="3">
        <f>C2039-B2039</f>
        <v>0</v>
      </c>
    </row>
    <row r="2040" spans="1:4">
      <c r="A2040" s="12">
        <v>45502</v>
      </c>
      <c r="B2040" s="3">
        <v>96</v>
      </c>
      <c r="C2040" s="3">
        <v>96</v>
      </c>
      <c r="D2040" s="3">
        <f>C2040-B2040</f>
        <v>0</v>
      </c>
    </row>
    <row r="2041" spans="1:4">
      <c r="A2041" s="12">
        <v>45503</v>
      </c>
      <c r="B2041" s="3">
        <v>96</v>
      </c>
      <c r="C2041" s="3">
        <v>96</v>
      </c>
      <c r="D2041" s="3">
        <f>C2041-B2041</f>
        <v>0</v>
      </c>
    </row>
    <row r="2042" spans="1:4">
      <c r="A2042" s="12">
        <v>45504</v>
      </c>
      <c r="B2042" s="3">
        <v>96</v>
      </c>
      <c r="C2042" s="3">
        <v>96</v>
      </c>
      <c r="D2042" s="3">
        <f>C2042-B2042</f>
        <v>0</v>
      </c>
    </row>
    <row r="2043" spans="1:4">
      <c r="A2043" s="12">
        <v>45505</v>
      </c>
      <c r="B2043" s="3">
        <v>96</v>
      </c>
      <c r="C2043" s="3">
        <v>96</v>
      </c>
      <c r="D2043" s="3">
        <f>C2043-B2043</f>
        <v>0</v>
      </c>
    </row>
    <row r="2044" spans="1:4">
      <c r="A2044" s="12">
        <v>45506</v>
      </c>
      <c r="B2044" s="3">
        <v>96</v>
      </c>
      <c r="C2044" s="3">
        <v>96</v>
      </c>
      <c r="D2044" s="3">
        <f>C2044-B2044</f>
        <v>0</v>
      </c>
    </row>
    <row r="2045" spans="1:4">
      <c r="A2045" s="12">
        <v>45507</v>
      </c>
      <c r="B2045" s="3">
        <v>96</v>
      </c>
      <c r="C2045" s="3">
        <v>96</v>
      </c>
      <c r="D2045" s="3">
        <f>C2045-B2045</f>
        <v>0</v>
      </c>
    </row>
    <row r="2046" spans="1:4">
      <c r="A2046" s="12">
        <v>45508</v>
      </c>
      <c r="B2046" s="3">
        <v>96</v>
      </c>
      <c r="C2046" s="3">
        <v>96</v>
      </c>
      <c r="D2046" s="3">
        <f>C2046-B2046</f>
        <v>0</v>
      </c>
    </row>
    <row r="2047" spans="1:4">
      <c r="A2047" s="12">
        <v>45509</v>
      </c>
      <c r="B2047" s="3">
        <v>96</v>
      </c>
      <c r="C2047" s="3">
        <v>96</v>
      </c>
      <c r="D2047" s="3">
        <f>C2047-B2047</f>
        <v>0</v>
      </c>
    </row>
    <row r="2048" spans="1:4">
      <c r="A2048" s="12">
        <v>45510</v>
      </c>
      <c r="B2048" s="3">
        <v>96</v>
      </c>
      <c r="C2048" s="3">
        <v>96</v>
      </c>
      <c r="D2048" s="3">
        <f>C2048-B2048</f>
        <v>0</v>
      </c>
    </row>
    <row r="2049" spans="1:4">
      <c r="A2049" s="12">
        <v>45511</v>
      </c>
      <c r="B2049" s="3">
        <v>96</v>
      </c>
      <c r="C2049" s="3">
        <v>96</v>
      </c>
      <c r="D2049" s="3">
        <f>C2049-B2049</f>
        <v>0</v>
      </c>
    </row>
    <row r="2050" spans="1:4">
      <c r="A2050" s="12">
        <v>45512</v>
      </c>
      <c r="B2050" s="3">
        <v>96</v>
      </c>
      <c r="C2050" s="3">
        <v>96</v>
      </c>
      <c r="D2050" s="3">
        <f>C2050-B2050</f>
        <v>0</v>
      </c>
    </row>
    <row r="2051" spans="1:4">
      <c r="A2051" s="12">
        <v>45513</v>
      </c>
      <c r="B2051" s="3">
        <v>96</v>
      </c>
      <c r="C2051" s="3">
        <v>96</v>
      </c>
      <c r="D2051" s="3">
        <f>C2051-B2051</f>
        <v>0</v>
      </c>
    </row>
    <row r="2052" spans="1:4">
      <c r="A2052" s="12">
        <v>45514</v>
      </c>
      <c r="B2052" s="3">
        <v>96</v>
      </c>
      <c r="C2052" s="3">
        <v>96</v>
      </c>
      <c r="D2052" s="3">
        <f>C2052-B2052</f>
        <v>0</v>
      </c>
    </row>
    <row r="2053" spans="1:4">
      <c r="A2053" s="12">
        <v>45515</v>
      </c>
      <c r="B2053" s="3">
        <v>96</v>
      </c>
      <c r="C2053" s="3">
        <v>96</v>
      </c>
      <c r="D2053" s="3">
        <f>C2053-B2053</f>
        <v>0</v>
      </c>
    </row>
    <row r="2054" spans="1:4">
      <c r="A2054" s="12">
        <v>45516</v>
      </c>
      <c r="B2054" s="3">
        <v>96</v>
      </c>
      <c r="C2054" s="3">
        <v>96</v>
      </c>
      <c r="D2054" s="3">
        <f>C2054-B2054</f>
        <v>0</v>
      </c>
    </row>
    <row r="2055" spans="1:4">
      <c r="A2055" s="12">
        <v>45517</v>
      </c>
      <c r="B2055" s="3">
        <v>96</v>
      </c>
      <c r="C2055" s="3">
        <v>96</v>
      </c>
      <c r="D2055" s="3">
        <f>C2055-B2055</f>
        <v>0</v>
      </c>
    </row>
    <row r="2056" spans="1:4">
      <c r="A2056" s="12">
        <v>45518</v>
      </c>
      <c r="B2056" s="3">
        <v>96</v>
      </c>
      <c r="C2056" s="3">
        <v>96</v>
      </c>
      <c r="D2056" s="3">
        <f>C2056-B2056</f>
        <v>0</v>
      </c>
    </row>
    <row r="2057" spans="1:4">
      <c r="A2057" s="12">
        <v>45519</v>
      </c>
      <c r="B2057" s="3">
        <v>96</v>
      </c>
      <c r="C2057" s="3">
        <v>96</v>
      </c>
      <c r="D2057" s="3">
        <f>C2057-B2057</f>
        <v>0</v>
      </c>
    </row>
    <row r="2058" spans="1:4">
      <c r="A2058" s="12">
        <v>45520</v>
      </c>
      <c r="B2058" s="3">
        <v>96</v>
      </c>
      <c r="C2058" s="3">
        <v>96</v>
      </c>
      <c r="D2058" s="3">
        <f>C2058-B2058</f>
        <v>0</v>
      </c>
    </row>
    <row r="2059" spans="1:4">
      <c r="A2059" s="12">
        <v>45521</v>
      </c>
      <c r="B2059" s="3">
        <v>96</v>
      </c>
      <c r="C2059" s="3">
        <v>96</v>
      </c>
      <c r="D2059" s="3">
        <f>C2059-B2059</f>
        <v>0</v>
      </c>
    </row>
    <row r="2060" spans="1:4">
      <c r="A2060" s="12">
        <v>45522</v>
      </c>
      <c r="B2060" s="3">
        <v>96</v>
      </c>
      <c r="C2060" s="3">
        <v>96</v>
      </c>
      <c r="D2060" s="3">
        <f>C2060-B2060</f>
        <v>0</v>
      </c>
    </row>
    <row r="2061" spans="1:4">
      <c r="A2061" s="12">
        <v>45523</v>
      </c>
      <c r="B2061" s="3">
        <v>96</v>
      </c>
      <c r="C2061" s="3">
        <v>96</v>
      </c>
      <c r="D2061" s="3">
        <f>C2061-B2061</f>
        <v>0</v>
      </c>
    </row>
    <row r="2062" spans="1:4">
      <c r="A2062" s="12">
        <v>45524</v>
      </c>
      <c r="B2062" s="3">
        <v>96</v>
      </c>
      <c r="C2062" s="3">
        <v>96</v>
      </c>
      <c r="D2062" s="3">
        <f>C2062-B2062</f>
        <v>0</v>
      </c>
    </row>
    <row r="2063" spans="1:4">
      <c r="A2063" s="12">
        <v>45525</v>
      </c>
      <c r="B2063" s="3">
        <v>96</v>
      </c>
      <c r="C2063" s="3">
        <v>96</v>
      </c>
      <c r="D2063" s="3">
        <f>C2063-B2063</f>
        <v>0</v>
      </c>
    </row>
    <row r="2064" spans="1:4">
      <c r="A2064" s="12">
        <v>45526</v>
      </c>
      <c r="B2064" s="3">
        <v>96</v>
      </c>
      <c r="C2064" s="3">
        <v>96</v>
      </c>
      <c r="D2064" s="3">
        <f>C2064-B2064</f>
        <v>0</v>
      </c>
    </row>
    <row r="2065" spans="1:4">
      <c r="A2065" s="12">
        <v>45527</v>
      </c>
      <c r="B2065" s="3">
        <v>96</v>
      </c>
      <c r="C2065" s="3">
        <v>96</v>
      </c>
      <c r="D2065" s="3">
        <f>C2065-B2065</f>
        <v>0</v>
      </c>
    </row>
    <row r="2066" spans="1:4">
      <c r="A2066" s="12">
        <v>45528</v>
      </c>
      <c r="B2066" s="3">
        <v>96</v>
      </c>
      <c r="C2066" s="3">
        <v>96</v>
      </c>
      <c r="D2066" s="3">
        <f>C2066-B2066</f>
        <v>0</v>
      </c>
    </row>
    <row r="2067" spans="1:4">
      <c r="A2067" s="12">
        <v>45529</v>
      </c>
      <c r="B2067" s="3">
        <v>96</v>
      </c>
      <c r="C2067" s="3">
        <v>96</v>
      </c>
      <c r="D2067" s="3">
        <f>C2067-B2067</f>
        <v>0</v>
      </c>
    </row>
    <row r="2068" spans="1:4">
      <c r="A2068" s="12">
        <v>45530</v>
      </c>
      <c r="B2068" s="3">
        <v>96</v>
      </c>
      <c r="C2068" s="3">
        <v>96</v>
      </c>
      <c r="D2068" s="3">
        <f>C2068-B2068</f>
        <v>0</v>
      </c>
    </row>
    <row r="2069" spans="1:4">
      <c r="A2069" s="12">
        <v>45531</v>
      </c>
      <c r="B2069" s="3">
        <v>96</v>
      </c>
      <c r="C2069" s="3">
        <v>96</v>
      </c>
      <c r="D2069" s="3">
        <f>C2069-B2069</f>
        <v>0</v>
      </c>
    </row>
    <row r="2070" spans="1:4">
      <c r="A2070" s="12">
        <v>45532</v>
      </c>
      <c r="B2070" s="3">
        <v>96</v>
      </c>
      <c r="C2070" s="3">
        <v>96</v>
      </c>
      <c r="D2070" s="3">
        <f>C2070-B2070</f>
        <v>0</v>
      </c>
    </row>
    <row r="2071" spans="1:4">
      <c r="A2071" s="12">
        <v>45533</v>
      </c>
      <c r="B2071" s="3">
        <v>96</v>
      </c>
      <c r="C2071" s="3">
        <v>96</v>
      </c>
      <c r="D2071" s="3">
        <f>C2071-B2071</f>
        <v>0</v>
      </c>
    </row>
    <row r="2072" spans="1:4">
      <c r="A2072" s="12">
        <v>45534</v>
      </c>
      <c r="B2072" s="3">
        <v>96</v>
      </c>
      <c r="C2072" s="3">
        <v>96</v>
      </c>
      <c r="D2072" s="3">
        <f>C2072-B2072</f>
        <v>0</v>
      </c>
    </row>
    <row r="2073" spans="1:4">
      <c r="A2073" s="12">
        <v>45535</v>
      </c>
      <c r="B2073" s="3">
        <v>96</v>
      </c>
      <c r="C2073" s="3">
        <v>96</v>
      </c>
      <c r="D2073" s="3">
        <f>C2073-B2073</f>
        <v>0</v>
      </c>
    </row>
    <row r="2074" spans="1:4">
      <c r="A2074" s="12">
        <v>45536</v>
      </c>
      <c r="B2074" s="3">
        <v>96</v>
      </c>
      <c r="C2074" s="3">
        <v>96</v>
      </c>
      <c r="D2074" s="3">
        <f>C2074-B2074</f>
        <v>0</v>
      </c>
    </row>
    <row r="2075" spans="1:4">
      <c r="A2075" s="12">
        <v>45537</v>
      </c>
      <c r="B2075" s="3">
        <v>96</v>
      </c>
      <c r="C2075" s="3">
        <v>96</v>
      </c>
      <c r="D2075" s="3">
        <f>C2075-B2075</f>
        <v>0</v>
      </c>
    </row>
    <row r="2076" spans="1:4">
      <c r="A2076" s="12">
        <v>45538</v>
      </c>
      <c r="B2076" s="3">
        <v>96</v>
      </c>
      <c r="C2076" s="3">
        <v>96</v>
      </c>
      <c r="D2076" s="3">
        <f>C2076-B2076</f>
        <v>0</v>
      </c>
    </row>
    <row r="2077" spans="1:4">
      <c r="A2077" s="12">
        <v>45539</v>
      </c>
      <c r="B2077" s="3">
        <v>96</v>
      </c>
      <c r="C2077" s="3">
        <v>96</v>
      </c>
      <c r="D2077" s="3">
        <f>C2077-B2077</f>
        <v>0</v>
      </c>
    </row>
    <row r="2078" spans="1:4">
      <c r="A2078" s="12">
        <v>45540</v>
      </c>
      <c r="B2078" s="3">
        <v>96</v>
      </c>
      <c r="C2078" s="3">
        <v>96</v>
      </c>
      <c r="D2078" s="3">
        <f>C2078-B2078</f>
        <v>0</v>
      </c>
    </row>
    <row r="2079" spans="1:4">
      <c r="A2079" s="12">
        <v>45541</v>
      </c>
      <c r="B2079" s="3">
        <v>96</v>
      </c>
      <c r="C2079" s="3">
        <v>96</v>
      </c>
      <c r="D2079" s="3">
        <f>C2079-B2079</f>
        <v>0</v>
      </c>
    </row>
    <row r="2080" spans="1:4">
      <c r="A2080" s="12">
        <v>45542</v>
      </c>
      <c r="B2080" s="3">
        <v>96</v>
      </c>
      <c r="C2080" s="3">
        <v>96</v>
      </c>
      <c r="D2080" s="3">
        <f>C2080-B2080</f>
        <v>0</v>
      </c>
    </row>
    <row r="2081" spans="1:4">
      <c r="A2081" s="12">
        <v>45543</v>
      </c>
      <c r="B2081" s="3">
        <v>96</v>
      </c>
      <c r="C2081" s="3">
        <v>96</v>
      </c>
      <c r="D2081" s="3">
        <f>C2081-B2081</f>
        <v>0</v>
      </c>
    </row>
    <row r="2082" spans="1:4">
      <c r="A2082" s="12">
        <v>45544</v>
      </c>
      <c r="B2082" s="3">
        <v>96</v>
      </c>
      <c r="C2082" s="3">
        <v>96</v>
      </c>
      <c r="D2082" s="3">
        <f>C2082-B2082</f>
        <v>0</v>
      </c>
    </row>
    <row r="2083" spans="1:4">
      <c r="A2083" s="12">
        <v>45545</v>
      </c>
      <c r="B2083" s="3">
        <v>96</v>
      </c>
      <c r="C2083" s="3">
        <v>96</v>
      </c>
      <c r="D2083" s="3">
        <f>C2083-B2083</f>
        <v>0</v>
      </c>
    </row>
    <row r="2084" spans="1:4">
      <c r="A2084" s="12">
        <v>45546</v>
      </c>
      <c r="B2084" s="3">
        <v>96</v>
      </c>
      <c r="C2084" s="3">
        <v>96</v>
      </c>
      <c r="D2084" s="3">
        <f>C2084-B2084</f>
        <v>0</v>
      </c>
    </row>
    <row r="2085" spans="1:4">
      <c r="A2085" s="12">
        <v>45547</v>
      </c>
      <c r="B2085" s="3">
        <v>96</v>
      </c>
      <c r="C2085" s="3">
        <v>96</v>
      </c>
      <c r="D2085" s="3">
        <f>C2085-B2085</f>
        <v>0</v>
      </c>
    </row>
    <row r="2086" spans="1:4">
      <c r="A2086" s="12">
        <v>45548</v>
      </c>
      <c r="B2086" s="3">
        <v>96</v>
      </c>
      <c r="C2086" s="3">
        <v>96</v>
      </c>
      <c r="D2086" s="3">
        <f>C2086-B2086</f>
        <v>0</v>
      </c>
    </row>
    <row r="2087" spans="1:4">
      <c r="A2087" s="12">
        <v>45549</v>
      </c>
      <c r="B2087" s="3">
        <v>96</v>
      </c>
      <c r="C2087" s="3">
        <v>96</v>
      </c>
      <c r="D2087" s="3">
        <f>C2087-B2087</f>
        <v>0</v>
      </c>
    </row>
    <row r="2088" spans="1:4">
      <c r="A2088" s="12">
        <v>45550</v>
      </c>
      <c r="B2088" s="3">
        <v>96</v>
      </c>
      <c r="C2088" s="3">
        <v>96</v>
      </c>
      <c r="D2088" s="3">
        <f>C2088-B2088</f>
        <v>0</v>
      </c>
    </row>
    <row r="2089" spans="1:4">
      <c r="A2089" s="12">
        <v>45551</v>
      </c>
      <c r="B2089" s="3">
        <v>96</v>
      </c>
      <c r="C2089" s="3">
        <v>96</v>
      </c>
      <c r="D2089" s="3">
        <f>C2089-B2089</f>
        <v>0</v>
      </c>
    </row>
    <row r="2090" spans="1:4">
      <c r="A2090" s="12">
        <v>45552</v>
      </c>
      <c r="B2090" s="3">
        <v>96</v>
      </c>
      <c r="C2090" s="3">
        <v>96</v>
      </c>
      <c r="D2090" s="3">
        <f>C2090-B2090</f>
        <v>0</v>
      </c>
    </row>
    <row r="2091" spans="1:4">
      <c r="A2091" s="12">
        <v>45553</v>
      </c>
      <c r="B2091" s="3">
        <v>96</v>
      </c>
      <c r="C2091" s="3">
        <v>96</v>
      </c>
      <c r="D2091" s="3">
        <f>C2091-B2091</f>
        <v>0</v>
      </c>
    </row>
    <row r="2092" spans="1:4">
      <c r="A2092" s="12">
        <v>45554</v>
      </c>
      <c r="B2092" s="3">
        <v>96</v>
      </c>
      <c r="C2092" s="3">
        <v>96</v>
      </c>
      <c r="D2092" s="3">
        <f>C2092-B2092</f>
        <v>0</v>
      </c>
    </row>
    <row r="2093" spans="1:4">
      <c r="A2093" s="12">
        <v>45555</v>
      </c>
      <c r="B2093" s="3">
        <v>96</v>
      </c>
      <c r="C2093" s="3">
        <v>96</v>
      </c>
      <c r="D2093" s="3">
        <f>C2093-B2093</f>
        <v>0</v>
      </c>
    </row>
    <row r="2094" spans="1:4">
      <c r="A2094" s="12">
        <v>45556</v>
      </c>
      <c r="B2094" s="3">
        <v>96</v>
      </c>
      <c r="C2094" s="3">
        <v>96</v>
      </c>
      <c r="D2094" s="3">
        <f>C2094-B2094</f>
        <v>0</v>
      </c>
    </row>
    <row r="2095" spans="1:4">
      <c r="A2095" s="12">
        <v>45557</v>
      </c>
      <c r="B2095" s="3">
        <v>96</v>
      </c>
      <c r="C2095" s="3">
        <v>96</v>
      </c>
      <c r="D2095" s="3">
        <f>C2095-B2095</f>
        <v>0</v>
      </c>
    </row>
    <row r="2096" spans="1:4">
      <c r="A2096" s="12">
        <v>45558</v>
      </c>
      <c r="B2096" s="3">
        <v>96</v>
      </c>
      <c r="C2096" s="3">
        <v>96</v>
      </c>
      <c r="D2096" s="3">
        <f>C2096-B2096</f>
        <v>0</v>
      </c>
    </row>
    <row r="2097" spans="1:4">
      <c r="A2097" s="12">
        <v>45559</v>
      </c>
      <c r="B2097" s="3">
        <v>96</v>
      </c>
      <c r="C2097" s="3">
        <v>96</v>
      </c>
      <c r="D2097" s="3">
        <f>C2097-B2097</f>
        <v>0</v>
      </c>
    </row>
    <row r="2098" spans="1:4">
      <c r="A2098" s="12">
        <v>45560</v>
      </c>
      <c r="B2098" s="3">
        <v>96</v>
      </c>
      <c r="C2098" s="3">
        <v>96</v>
      </c>
      <c r="D2098" s="3">
        <f>C2098-B2098</f>
        <v>0</v>
      </c>
    </row>
    <row r="2099" spans="1:4">
      <c r="A2099" s="12">
        <v>45561</v>
      </c>
      <c r="B2099" s="3">
        <v>96</v>
      </c>
      <c r="C2099" s="3">
        <v>96</v>
      </c>
      <c r="D2099" s="3">
        <f>C2099-B2099</f>
        <v>0</v>
      </c>
    </row>
    <row r="2100" spans="1:4">
      <c r="A2100" s="12">
        <v>45562</v>
      </c>
      <c r="B2100" s="3">
        <v>96</v>
      </c>
      <c r="C2100" s="3">
        <v>96</v>
      </c>
      <c r="D2100" s="3">
        <f>C2100-B2100</f>
        <v>0</v>
      </c>
    </row>
    <row r="2101" spans="1:4">
      <c r="A2101" s="12">
        <v>45563</v>
      </c>
      <c r="B2101" s="3">
        <v>96</v>
      </c>
      <c r="C2101" s="3">
        <v>96</v>
      </c>
      <c r="D2101" s="3">
        <f>C2101-B2101</f>
        <v>0</v>
      </c>
    </row>
    <row r="2102" spans="1:4">
      <c r="A2102" s="12">
        <v>45564</v>
      </c>
      <c r="B2102" s="3">
        <v>96</v>
      </c>
      <c r="C2102" s="3">
        <v>96</v>
      </c>
      <c r="D2102" s="3">
        <f>C2102-B2102</f>
        <v>0</v>
      </c>
    </row>
    <row r="2103" spans="1:4">
      <c r="A2103" s="12">
        <v>45565</v>
      </c>
      <c r="B2103" s="3">
        <v>96</v>
      </c>
      <c r="C2103" s="3">
        <v>96</v>
      </c>
      <c r="D2103" s="3">
        <f>C2103-B2103</f>
        <v>0</v>
      </c>
    </row>
    <row r="2104" spans="1:4">
      <c r="A2104" s="12">
        <v>45566</v>
      </c>
      <c r="B2104" s="3">
        <v>96</v>
      </c>
      <c r="C2104" s="3">
        <v>96</v>
      </c>
      <c r="D2104" s="3">
        <f>C2104-B2104</f>
        <v>0</v>
      </c>
    </row>
    <row r="2105" spans="1:4">
      <c r="A2105" s="12">
        <v>45567</v>
      </c>
      <c r="B2105" s="3">
        <v>96</v>
      </c>
      <c r="C2105" s="3">
        <v>96</v>
      </c>
      <c r="D2105" s="3">
        <f>C2105-B2105</f>
        <v>0</v>
      </c>
    </row>
    <row r="2106" spans="1:4">
      <c r="A2106" s="12">
        <v>45568</v>
      </c>
      <c r="B2106" s="3">
        <v>96</v>
      </c>
      <c r="C2106" s="3">
        <v>96</v>
      </c>
      <c r="D2106" s="3">
        <f>C2106-B2106</f>
        <v>0</v>
      </c>
    </row>
    <row r="2107" spans="1:4">
      <c r="A2107" s="12">
        <v>45569</v>
      </c>
      <c r="B2107" s="3">
        <v>96</v>
      </c>
      <c r="C2107" s="3">
        <v>96</v>
      </c>
      <c r="D2107" s="3">
        <f>C2107-B2107</f>
        <v>0</v>
      </c>
    </row>
    <row r="2108" spans="1:4">
      <c r="A2108" s="12">
        <v>45570</v>
      </c>
      <c r="B2108" s="3">
        <v>96</v>
      </c>
      <c r="C2108" s="3">
        <v>96</v>
      </c>
      <c r="D2108" s="3">
        <f>C2108-B2108</f>
        <v>0</v>
      </c>
    </row>
    <row r="2109" spans="1:4">
      <c r="A2109" s="12">
        <v>45571</v>
      </c>
      <c r="B2109" s="3">
        <v>96</v>
      </c>
      <c r="C2109" s="3">
        <v>96</v>
      </c>
      <c r="D2109" s="3">
        <f>C2109-B2109</f>
        <v>0</v>
      </c>
    </row>
    <row r="2110" spans="1:4">
      <c r="A2110" s="12">
        <v>45572</v>
      </c>
      <c r="B2110" s="3">
        <v>96</v>
      </c>
      <c r="C2110" s="3">
        <v>96</v>
      </c>
      <c r="D2110" s="3">
        <f>C2110-B2110</f>
        <v>0</v>
      </c>
    </row>
    <row r="2111" spans="1:4">
      <c r="A2111" s="12">
        <v>45573</v>
      </c>
      <c r="B2111" s="3">
        <v>96</v>
      </c>
      <c r="C2111" s="3">
        <v>96</v>
      </c>
      <c r="D2111" s="3">
        <f>C2111-B2111</f>
        <v>0</v>
      </c>
    </row>
    <row r="2112" spans="1:4">
      <c r="A2112" s="12">
        <v>45574</v>
      </c>
      <c r="B2112" s="3">
        <v>96</v>
      </c>
      <c r="C2112" s="3">
        <v>96</v>
      </c>
      <c r="D2112" s="3">
        <f>C2112-B2112</f>
        <v>0</v>
      </c>
    </row>
    <row r="2113" spans="1:4">
      <c r="A2113" s="12">
        <v>45575</v>
      </c>
      <c r="B2113" s="3">
        <v>96</v>
      </c>
      <c r="C2113" s="3">
        <v>96</v>
      </c>
      <c r="D2113" s="3">
        <f>C2113-B2113</f>
        <v>0</v>
      </c>
    </row>
    <row r="2114" spans="1:4">
      <c r="A2114" s="12">
        <v>45576</v>
      </c>
      <c r="B2114" s="3">
        <v>96</v>
      </c>
      <c r="C2114" s="3">
        <v>96</v>
      </c>
      <c r="D2114" s="3">
        <f>C2114-B2114</f>
        <v>0</v>
      </c>
    </row>
    <row r="2115" spans="1:4">
      <c r="A2115" s="12">
        <v>45577</v>
      </c>
      <c r="B2115" s="3">
        <v>96</v>
      </c>
      <c r="C2115" s="3">
        <v>96</v>
      </c>
      <c r="D2115" s="3">
        <f>C2115-B2115</f>
        <v>0</v>
      </c>
    </row>
    <row r="2116" spans="1:4">
      <c r="A2116" s="12">
        <v>45578</v>
      </c>
      <c r="B2116" s="3">
        <v>96</v>
      </c>
      <c r="C2116" s="3">
        <v>96</v>
      </c>
      <c r="D2116" s="3">
        <f>C2116-B2116</f>
        <v>0</v>
      </c>
    </row>
    <row r="2117" spans="1:4">
      <c r="A2117" s="12">
        <v>45579</v>
      </c>
      <c r="B2117" s="3">
        <v>96</v>
      </c>
      <c r="C2117" s="3">
        <v>96</v>
      </c>
      <c r="D2117" s="3">
        <f>C2117-B2117</f>
        <v>0</v>
      </c>
    </row>
    <row r="2118" spans="1:4">
      <c r="A2118" s="12">
        <v>45580</v>
      </c>
      <c r="B2118" s="3">
        <v>96</v>
      </c>
      <c r="C2118" s="3">
        <v>96</v>
      </c>
      <c r="D2118" s="3">
        <f>C2118-B2118</f>
        <v>0</v>
      </c>
    </row>
    <row r="2119" spans="1:4">
      <c r="A2119" s="12">
        <v>45581</v>
      </c>
      <c r="B2119" s="3">
        <v>96</v>
      </c>
      <c r="C2119" s="3">
        <v>96</v>
      </c>
      <c r="D2119" s="3">
        <f>C2119-B2119</f>
        <v>0</v>
      </c>
    </row>
    <row r="2120" spans="1:4">
      <c r="A2120" s="12">
        <v>45582</v>
      </c>
      <c r="B2120" s="3">
        <v>96</v>
      </c>
      <c r="C2120" s="3">
        <v>96</v>
      </c>
      <c r="D2120" s="3">
        <f>C2120-B2120</f>
        <v>0</v>
      </c>
    </row>
    <row r="2121" spans="1:4">
      <c r="A2121" s="12">
        <v>45583</v>
      </c>
      <c r="B2121" s="3">
        <v>96</v>
      </c>
      <c r="C2121" s="3">
        <v>96</v>
      </c>
      <c r="D2121" s="3">
        <f>C2121-B2121</f>
        <v>0</v>
      </c>
    </row>
    <row r="2122" spans="1:4">
      <c r="A2122" s="12">
        <v>45584</v>
      </c>
      <c r="B2122" s="3">
        <v>96</v>
      </c>
      <c r="C2122" s="3">
        <v>96</v>
      </c>
      <c r="D2122" s="3">
        <f>C2122-B2122</f>
        <v>0</v>
      </c>
    </row>
    <row r="2123" spans="1:4">
      <c r="A2123" s="12">
        <v>45585</v>
      </c>
      <c r="B2123" s="3">
        <v>96</v>
      </c>
      <c r="C2123" s="3">
        <v>96</v>
      </c>
      <c r="D2123" s="3">
        <f>C2123-B2123</f>
        <v>0</v>
      </c>
    </row>
    <row r="2124" spans="1:4">
      <c r="A2124" s="12">
        <v>45586</v>
      </c>
      <c r="B2124" s="3">
        <v>96</v>
      </c>
      <c r="C2124" s="3">
        <v>96</v>
      </c>
      <c r="D2124" s="3">
        <f>C2124-B2124</f>
        <v>0</v>
      </c>
    </row>
    <row r="2125" spans="1:4">
      <c r="A2125" s="12">
        <v>45587</v>
      </c>
      <c r="B2125" s="3">
        <v>96</v>
      </c>
      <c r="C2125" s="3">
        <v>96</v>
      </c>
      <c r="D2125" s="3">
        <f>C2125-B2125</f>
        <v>0</v>
      </c>
    </row>
    <row r="2126" spans="1:4">
      <c r="A2126" s="12">
        <v>45588</v>
      </c>
      <c r="B2126" s="3">
        <v>96</v>
      </c>
      <c r="C2126" s="3">
        <v>96</v>
      </c>
      <c r="D2126" s="3">
        <f>C2126-B2126</f>
        <v>0</v>
      </c>
    </row>
    <row r="2127" spans="1:4">
      <c r="A2127" s="12">
        <v>45589</v>
      </c>
      <c r="B2127" s="3">
        <v>96</v>
      </c>
      <c r="C2127" s="3">
        <v>96</v>
      </c>
      <c r="D2127" s="3">
        <f>C2127-B2127</f>
        <v>0</v>
      </c>
    </row>
    <row r="2128" spans="1:4">
      <c r="A2128" s="12">
        <v>45590</v>
      </c>
      <c r="B2128" s="3">
        <v>96</v>
      </c>
      <c r="C2128" s="3">
        <v>96</v>
      </c>
      <c r="D2128" s="3">
        <f>C2128-B2128</f>
        <v>0</v>
      </c>
    </row>
    <row r="2129" spans="1:4">
      <c r="A2129" s="12">
        <v>45591</v>
      </c>
      <c r="B2129" s="3">
        <v>96</v>
      </c>
      <c r="C2129" s="3">
        <v>96</v>
      </c>
      <c r="D2129" s="3">
        <f>C2129-B2129</f>
        <v>0</v>
      </c>
    </row>
    <row r="2130" spans="1:4">
      <c r="A2130" s="12">
        <v>45592</v>
      </c>
      <c r="B2130" s="3">
        <v>100</v>
      </c>
      <c r="C2130" s="3">
        <v>100</v>
      </c>
      <c r="D2130" s="3">
        <f>C2130-B2130</f>
        <v>0</v>
      </c>
    </row>
    <row r="2131" spans="1:4">
      <c r="A2131" s="12">
        <v>45593</v>
      </c>
      <c r="B2131" s="3">
        <v>96</v>
      </c>
      <c r="C2131" s="3">
        <v>96</v>
      </c>
      <c r="D2131" s="3">
        <f>C2131-B2131</f>
        <v>0</v>
      </c>
    </row>
    <row r="2132" spans="1:4">
      <c r="A2132" s="12">
        <v>45594</v>
      </c>
      <c r="B2132" s="3">
        <v>96</v>
      </c>
      <c r="C2132" s="3">
        <v>96</v>
      </c>
      <c r="D2132" s="3">
        <f>C2132-B2132</f>
        <v>0</v>
      </c>
    </row>
    <row r="2133" spans="1:4">
      <c r="A2133" s="12">
        <v>45595</v>
      </c>
      <c r="B2133" s="3">
        <v>96</v>
      </c>
      <c r="C2133" s="3">
        <v>96</v>
      </c>
      <c r="D2133" s="3">
        <f>C2133-B2133</f>
        <v>0</v>
      </c>
    </row>
    <row r="2134" spans="1:4">
      <c r="A2134" s="12">
        <v>45596</v>
      </c>
      <c r="B2134" s="3">
        <v>96</v>
      </c>
      <c r="C2134" s="3">
        <v>96</v>
      </c>
      <c r="D2134" s="3">
        <f>C2134-B2134</f>
        <v>0</v>
      </c>
    </row>
    <row r="2135" spans="1:4">
      <c r="A2135" s="12">
        <v>45597</v>
      </c>
      <c r="B2135" s="3">
        <v>96</v>
      </c>
      <c r="C2135" s="3">
        <v>96</v>
      </c>
      <c r="D2135" s="3">
        <f>C2135-B2135</f>
        <v>0</v>
      </c>
    </row>
    <row r="2136" spans="1:4">
      <c r="A2136" s="12">
        <v>45598</v>
      </c>
      <c r="B2136" s="3">
        <v>96</v>
      </c>
      <c r="C2136" s="3">
        <v>96</v>
      </c>
      <c r="D2136" s="3">
        <f>C2136-B2136</f>
        <v>0</v>
      </c>
    </row>
    <row r="2137" spans="1:4">
      <c r="A2137" s="12">
        <v>45599</v>
      </c>
      <c r="B2137" s="3">
        <v>96</v>
      </c>
      <c r="C2137" s="3">
        <v>96</v>
      </c>
      <c r="D2137" s="3">
        <f>C2137-B2137</f>
        <v>0</v>
      </c>
    </row>
    <row r="2138" spans="1:4">
      <c r="A2138" s="12">
        <v>45600</v>
      </c>
      <c r="B2138" s="3">
        <v>96</v>
      </c>
      <c r="C2138" s="3">
        <v>96</v>
      </c>
      <c r="D2138" s="3">
        <f>C2138-B2138</f>
        <v>0</v>
      </c>
    </row>
    <row r="2139" spans="1:4">
      <c r="A2139" s="12">
        <v>45601</v>
      </c>
      <c r="B2139" s="3">
        <v>96</v>
      </c>
      <c r="C2139" s="3">
        <v>96</v>
      </c>
      <c r="D2139" s="3">
        <f>C2139-B2139</f>
        <v>0</v>
      </c>
    </row>
    <row r="2140" spans="1:4">
      <c r="A2140" s="12">
        <v>45602</v>
      </c>
      <c r="B2140" s="3">
        <v>96</v>
      </c>
      <c r="C2140" s="3">
        <v>96</v>
      </c>
      <c r="D2140" s="3">
        <f>C2140-B2140</f>
        <v>0</v>
      </c>
    </row>
    <row r="2141" spans="1:4">
      <c r="A2141" s="12">
        <v>45603</v>
      </c>
      <c r="B2141" s="3">
        <v>96</v>
      </c>
      <c r="C2141" s="3">
        <v>96</v>
      </c>
      <c r="D2141" s="3">
        <f>C2141-B2141</f>
        <v>0</v>
      </c>
    </row>
    <row r="2142" spans="1:4">
      <c r="A2142" s="12">
        <v>45604</v>
      </c>
      <c r="B2142" s="3">
        <v>96</v>
      </c>
      <c r="C2142" s="3">
        <v>96</v>
      </c>
      <c r="D2142" s="3">
        <f>C2142-B2142</f>
        <v>0</v>
      </c>
    </row>
    <row r="2143" spans="1:4">
      <c r="A2143" s="12">
        <v>45605</v>
      </c>
      <c r="B2143" s="3">
        <v>96</v>
      </c>
      <c r="C2143" s="3">
        <v>96</v>
      </c>
      <c r="D2143" s="3">
        <f>C2143-B2143</f>
        <v>0</v>
      </c>
    </row>
    <row r="2144" spans="1:4">
      <c r="A2144" s="12">
        <v>45606</v>
      </c>
      <c r="B2144" s="3">
        <v>96</v>
      </c>
      <c r="C2144" s="3">
        <v>96</v>
      </c>
      <c r="D2144" s="3">
        <f>C2144-B2144</f>
        <v>0</v>
      </c>
    </row>
    <row r="2145" spans="1:4">
      <c r="A2145" s="12">
        <v>45607</v>
      </c>
      <c r="B2145" s="3">
        <v>96</v>
      </c>
      <c r="C2145" s="3">
        <v>96</v>
      </c>
      <c r="D2145" s="3">
        <f>C2145-B2145</f>
        <v>0</v>
      </c>
    </row>
    <row r="2146" spans="1:4">
      <c r="A2146" s="12">
        <v>45608</v>
      </c>
      <c r="B2146" s="3">
        <v>96</v>
      </c>
      <c r="C2146" s="3">
        <v>96</v>
      </c>
      <c r="D2146" s="3">
        <f>C2146-B2146</f>
        <v>0</v>
      </c>
    </row>
    <row r="2147" spans="1:4">
      <c r="A2147" s="12">
        <v>45609</v>
      </c>
      <c r="B2147" s="3">
        <v>96</v>
      </c>
      <c r="C2147" s="3">
        <v>96</v>
      </c>
      <c r="D2147" s="3">
        <f>C2147-B2147</f>
        <v>0</v>
      </c>
    </row>
    <row r="2148" spans="1:4">
      <c r="A2148" s="12">
        <v>45610</v>
      </c>
      <c r="B2148" s="3">
        <v>96</v>
      </c>
      <c r="C2148" s="3">
        <v>96</v>
      </c>
      <c r="D2148" s="3">
        <f>C2148-B2148</f>
        <v>0</v>
      </c>
    </row>
    <row r="2149" spans="1:4">
      <c r="A2149" s="12">
        <v>45611</v>
      </c>
      <c r="B2149" s="3">
        <v>96</v>
      </c>
      <c r="C2149" s="3">
        <v>96</v>
      </c>
      <c r="D2149" s="3">
        <f>C2149-B2149</f>
        <v>0</v>
      </c>
    </row>
    <row r="2150" spans="1:4">
      <c r="A2150" s="12">
        <v>45612</v>
      </c>
      <c r="B2150" s="3">
        <v>96</v>
      </c>
      <c r="C2150" s="3">
        <v>96</v>
      </c>
      <c r="D2150" s="3">
        <f>C2150-B2150</f>
        <v>0</v>
      </c>
    </row>
    <row r="2151" spans="1:4">
      <c r="A2151" s="12">
        <v>45613</v>
      </c>
      <c r="B2151" s="3">
        <v>96</v>
      </c>
      <c r="C2151" s="3">
        <v>96</v>
      </c>
      <c r="D2151" s="3">
        <f>C2151-B2151</f>
        <v>0</v>
      </c>
    </row>
    <row r="2152" spans="1:4">
      <c r="A2152" s="12">
        <v>45614</v>
      </c>
      <c r="B2152" s="3">
        <v>96</v>
      </c>
      <c r="C2152" s="3">
        <v>96</v>
      </c>
      <c r="D2152" s="3">
        <f>C2152-B2152</f>
        <v>0</v>
      </c>
    </row>
    <row r="2153" spans="1:4">
      <c r="A2153" s="12">
        <v>45615</v>
      </c>
      <c r="B2153" s="3">
        <v>96</v>
      </c>
      <c r="C2153" s="3">
        <v>96</v>
      </c>
      <c r="D2153" s="3">
        <f>C2153-B2153</f>
        <v>0</v>
      </c>
    </row>
    <row r="2154" spans="1:4">
      <c r="A2154" s="12">
        <v>45616</v>
      </c>
      <c r="B2154" s="3">
        <v>96</v>
      </c>
      <c r="C2154" s="3">
        <v>96</v>
      </c>
      <c r="D2154" s="3">
        <f>C2154-B2154</f>
        <v>0</v>
      </c>
    </row>
    <row r="2155" spans="1:4">
      <c r="A2155" s="12">
        <v>45617</v>
      </c>
      <c r="B2155" s="3">
        <v>96</v>
      </c>
      <c r="C2155" s="3">
        <v>96</v>
      </c>
      <c r="D2155" s="3">
        <f>C2155-B2155</f>
        <v>0</v>
      </c>
    </row>
    <row r="2156" spans="1:4">
      <c r="A2156" s="12">
        <v>45618</v>
      </c>
      <c r="B2156" s="3">
        <v>96</v>
      </c>
      <c r="C2156" s="3">
        <v>96</v>
      </c>
      <c r="D2156" s="3">
        <f>C2156-B2156</f>
        <v>0</v>
      </c>
    </row>
    <row r="2157" spans="1:4">
      <c r="A2157" s="12">
        <v>45619</v>
      </c>
      <c r="B2157" s="3">
        <v>96</v>
      </c>
      <c r="C2157" s="3">
        <v>96</v>
      </c>
      <c r="D2157" s="3">
        <f>C2157-B2157</f>
        <v>0</v>
      </c>
    </row>
    <row r="2158" spans="1:4">
      <c r="A2158" s="12">
        <v>45620</v>
      </c>
      <c r="B2158" s="3">
        <v>96</v>
      </c>
      <c r="C2158" s="3">
        <v>96</v>
      </c>
      <c r="D2158" s="3">
        <f>C2158-B2158</f>
        <v>0</v>
      </c>
    </row>
    <row r="2159" spans="1:4">
      <c r="A2159" s="12">
        <v>45621</v>
      </c>
      <c r="B2159" s="3">
        <v>96</v>
      </c>
      <c r="C2159" s="3">
        <v>96</v>
      </c>
      <c r="D2159" s="3">
        <f>C2159-B2159</f>
        <v>0</v>
      </c>
    </row>
    <row r="2160" spans="1:4">
      <c r="A2160" s="12">
        <v>45622</v>
      </c>
      <c r="B2160" s="3">
        <v>96</v>
      </c>
      <c r="C2160" s="3">
        <v>96</v>
      </c>
      <c r="D2160" s="3">
        <f>C2160-B2160</f>
        <v>0</v>
      </c>
    </row>
    <row r="2161" spans="1:4">
      <c r="A2161" s="12">
        <v>45623</v>
      </c>
      <c r="B2161" s="3">
        <v>96</v>
      </c>
      <c r="C2161" s="3">
        <v>96</v>
      </c>
      <c r="D2161" s="3">
        <f>C2161-B2161</f>
        <v>0</v>
      </c>
    </row>
    <row r="2162" spans="1:4">
      <c r="A2162" s="12">
        <v>45624</v>
      </c>
      <c r="B2162" s="3">
        <v>96</v>
      </c>
      <c r="C2162" s="3">
        <v>96</v>
      </c>
      <c r="D2162" s="3">
        <f>C2162-B2162</f>
        <v>0</v>
      </c>
    </row>
    <row r="2163" spans="1:4">
      <c r="A2163" s="12">
        <v>45625</v>
      </c>
      <c r="B2163" s="3">
        <v>96</v>
      </c>
      <c r="C2163" s="3">
        <v>96</v>
      </c>
      <c r="D2163" s="3">
        <f>C2163-B2163</f>
        <v>0</v>
      </c>
    </row>
    <row r="2164" spans="1:4">
      <c r="A2164" s="12">
        <v>45626</v>
      </c>
      <c r="B2164" s="3">
        <v>96</v>
      </c>
      <c r="C2164" s="3">
        <v>96</v>
      </c>
      <c r="D2164" s="3">
        <f>C2164-B2164</f>
        <v>0</v>
      </c>
    </row>
    <row r="2165" spans="1:4">
      <c r="A2165" s="12">
        <v>45627</v>
      </c>
      <c r="B2165" s="3">
        <v>96</v>
      </c>
      <c r="C2165" s="3">
        <v>96</v>
      </c>
      <c r="D2165" s="3">
        <f>C2165-B2165</f>
        <v>0</v>
      </c>
    </row>
    <row r="2166" spans="1:4">
      <c r="A2166" s="12">
        <v>45628</v>
      </c>
      <c r="B2166" s="3">
        <v>96</v>
      </c>
      <c r="C2166" s="3">
        <v>96</v>
      </c>
      <c r="D2166" s="3">
        <f>C2166-B2166</f>
        <v>0</v>
      </c>
    </row>
    <row r="2167" spans="1:4">
      <c r="A2167" s="12">
        <v>45629</v>
      </c>
      <c r="B2167" s="3">
        <v>96</v>
      </c>
      <c r="C2167" s="3">
        <v>96</v>
      </c>
      <c r="D2167" s="3">
        <f>C2167-B2167</f>
        <v>0</v>
      </c>
    </row>
    <row r="2168" spans="1:4">
      <c r="A2168" s="12">
        <v>45630</v>
      </c>
      <c r="B2168" s="3">
        <v>96</v>
      </c>
      <c r="C2168" s="3">
        <v>96</v>
      </c>
      <c r="D2168" s="3">
        <f>C2168-B2168</f>
        <v>0</v>
      </c>
    </row>
    <row r="2169" spans="1:4">
      <c r="A2169" s="12">
        <v>45631</v>
      </c>
      <c r="B2169" s="3">
        <v>96</v>
      </c>
      <c r="C2169" s="3">
        <v>96</v>
      </c>
      <c r="D2169" s="3">
        <f>C2169-B2169</f>
        <v>0</v>
      </c>
    </row>
    <row r="2170" spans="1:4">
      <c r="A2170" s="12">
        <v>45632</v>
      </c>
      <c r="B2170" s="3">
        <v>96</v>
      </c>
      <c r="C2170" s="3">
        <v>96</v>
      </c>
      <c r="D2170" s="3">
        <f>C2170-B2170</f>
        <v>0</v>
      </c>
    </row>
    <row r="2171" spans="1:4">
      <c r="A2171" s="12">
        <v>45633</v>
      </c>
      <c r="B2171" s="3">
        <v>96</v>
      </c>
      <c r="C2171" s="3">
        <v>96</v>
      </c>
      <c r="D2171" s="3">
        <f>C2171-B2171</f>
        <v>0</v>
      </c>
    </row>
    <row r="2172" spans="1:4">
      <c r="A2172" s="12">
        <v>45634</v>
      </c>
      <c r="B2172" s="3">
        <v>96</v>
      </c>
      <c r="C2172" s="3">
        <v>96</v>
      </c>
      <c r="D2172" s="3">
        <f>C2172-B2172</f>
        <v>0</v>
      </c>
    </row>
    <row r="2173" spans="1:4">
      <c r="A2173" s="12">
        <v>45635</v>
      </c>
      <c r="B2173" s="3">
        <v>96</v>
      </c>
      <c r="C2173" s="3">
        <v>96</v>
      </c>
      <c r="D2173" s="3">
        <f>C2173-B2173</f>
        <v>0</v>
      </c>
    </row>
    <row r="2174" spans="1:4">
      <c r="A2174" s="12">
        <v>45636</v>
      </c>
      <c r="B2174" s="3">
        <v>96</v>
      </c>
      <c r="C2174" s="3">
        <v>96</v>
      </c>
      <c r="D2174" s="3">
        <f>C2174-B2174</f>
        <v>0</v>
      </c>
    </row>
    <row r="2175" spans="1:4">
      <c r="A2175" s="12">
        <v>45637</v>
      </c>
      <c r="B2175" s="3">
        <v>96</v>
      </c>
      <c r="C2175" s="3">
        <v>96</v>
      </c>
      <c r="D2175" s="3">
        <f>C2175-B2175</f>
        <v>0</v>
      </c>
    </row>
    <row r="2176" spans="1:4">
      <c r="A2176" s="12">
        <v>45638</v>
      </c>
      <c r="B2176" s="3">
        <v>96</v>
      </c>
      <c r="C2176" s="3">
        <v>96</v>
      </c>
      <c r="D2176" s="3">
        <f>C2176-B2176</f>
        <v>0</v>
      </c>
    </row>
    <row r="2177" spans="1:4">
      <c r="A2177" s="12">
        <v>45639</v>
      </c>
      <c r="B2177" s="3">
        <v>96</v>
      </c>
      <c r="C2177" s="3">
        <v>96</v>
      </c>
      <c r="D2177" s="3">
        <f>C2177-B2177</f>
        <v>0</v>
      </c>
    </row>
    <row r="2178" spans="1:4">
      <c r="A2178" s="12">
        <v>45640</v>
      </c>
      <c r="B2178" s="3">
        <v>96</v>
      </c>
      <c r="C2178" s="3">
        <v>96</v>
      </c>
      <c r="D2178" s="3">
        <f>C2178-B2178</f>
        <v>0</v>
      </c>
    </row>
    <row r="2179" spans="1:4">
      <c r="A2179" s="12">
        <v>45641</v>
      </c>
      <c r="B2179" s="3">
        <v>96</v>
      </c>
      <c r="C2179" s="3">
        <v>96</v>
      </c>
      <c r="D2179" s="3">
        <f>C2179-B2179</f>
        <v>0</v>
      </c>
    </row>
    <row r="2180" spans="1:4">
      <c r="A2180" s="12">
        <v>45642</v>
      </c>
      <c r="B2180" s="3">
        <v>96</v>
      </c>
      <c r="C2180" s="3">
        <v>96</v>
      </c>
      <c r="D2180" s="3">
        <f>C2180-B2180</f>
        <v>0</v>
      </c>
    </row>
    <row r="2181" spans="1:4">
      <c r="A2181" s="12">
        <v>45643</v>
      </c>
      <c r="B2181" s="3">
        <v>96</v>
      </c>
      <c r="C2181" s="3">
        <v>96</v>
      </c>
      <c r="D2181" s="3">
        <f>C2181-B2181</f>
        <v>0</v>
      </c>
    </row>
    <row r="2182" spans="1:4">
      <c r="A2182" s="12">
        <v>45644</v>
      </c>
      <c r="B2182" s="3">
        <v>96</v>
      </c>
      <c r="C2182" s="3">
        <v>96</v>
      </c>
      <c r="D2182" s="3">
        <f>C2182-B2182</f>
        <v>0</v>
      </c>
    </row>
    <row r="2183" spans="1:4">
      <c r="A2183" s="12">
        <v>45645</v>
      </c>
      <c r="B2183" s="3">
        <v>96</v>
      </c>
      <c r="C2183" s="3">
        <v>96</v>
      </c>
      <c r="D2183" s="3">
        <f>C2183-B2183</f>
        <v>0</v>
      </c>
    </row>
    <row r="2184" spans="1:4">
      <c r="A2184" s="12">
        <v>45646</v>
      </c>
      <c r="B2184" s="3">
        <v>96</v>
      </c>
      <c r="C2184" s="3">
        <v>96</v>
      </c>
      <c r="D2184" s="3">
        <f>C2184-B2184</f>
        <v>0</v>
      </c>
    </row>
    <row r="2185" spans="1:4">
      <c r="A2185" s="12">
        <v>45647</v>
      </c>
      <c r="B2185" s="3">
        <v>96</v>
      </c>
      <c r="C2185" s="3">
        <v>96</v>
      </c>
      <c r="D2185" s="3">
        <f>C2185-B2185</f>
        <v>0</v>
      </c>
    </row>
    <row r="2186" spans="1:4">
      <c r="A2186" s="12">
        <v>45648</v>
      </c>
      <c r="B2186" s="3">
        <v>96</v>
      </c>
      <c r="C2186" s="3">
        <v>96</v>
      </c>
      <c r="D2186" s="3">
        <f>C2186-B2186</f>
        <v>0</v>
      </c>
    </row>
    <row r="2187" spans="1:4">
      <c r="A2187" s="12">
        <v>45649</v>
      </c>
      <c r="B2187" s="3">
        <v>96</v>
      </c>
      <c r="C2187" s="3">
        <v>96</v>
      </c>
      <c r="D2187" s="3">
        <f>C2187-B2187</f>
        <v>0</v>
      </c>
    </row>
    <row r="2188" spans="1:4">
      <c r="A2188" s="12">
        <v>45650</v>
      </c>
      <c r="B2188" s="3">
        <v>96</v>
      </c>
      <c r="C2188" s="3">
        <v>96</v>
      </c>
      <c r="D2188" s="3">
        <f>C2188-B2188</f>
        <v>0</v>
      </c>
    </row>
    <row r="2189" spans="1:4">
      <c r="A2189" s="12">
        <v>45651</v>
      </c>
      <c r="B2189" s="3">
        <v>96</v>
      </c>
      <c r="C2189" s="3">
        <v>96</v>
      </c>
      <c r="D2189" s="3">
        <f>C2189-B2189</f>
        <v>0</v>
      </c>
    </row>
    <row r="2190" spans="1:4">
      <c r="A2190" s="12">
        <v>45652</v>
      </c>
      <c r="B2190" s="3">
        <v>96</v>
      </c>
      <c r="C2190" s="3">
        <v>96</v>
      </c>
      <c r="D2190" s="3">
        <f>C2190-B2190</f>
        <v>0</v>
      </c>
    </row>
    <row r="2191" spans="1:4">
      <c r="A2191" s="12">
        <v>45653</v>
      </c>
      <c r="B2191" s="3">
        <v>96</v>
      </c>
      <c r="C2191" s="3">
        <v>96</v>
      </c>
      <c r="D2191" s="3">
        <f>C2191-B2191</f>
        <v>0</v>
      </c>
    </row>
    <row r="2192" spans="1:4">
      <c r="A2192" s="12">
        <v>45654</v>
      </c>
      <c r="B2192" s="3">
        <v>96</v>
      </c>
      <c r="C2192" s="3">
        <v>96</v>
      </c>
      <c r="D2192" s="3">
        <f>C2192-B2192</f>
        <v>0</v>
      </c>
    </row>
    <row r="2193" spans="1:4">
      <c r="A2193" s="12">
        <v>45655</v>
      </c>
      <c r="B2193" s="3">
        <v>96</v>
      </c>
      <c r="C2193" s="3">
        <v>96</v>
      </c>
      <c r="D2193" s="3">
        <f>C2193-B2193</f>
        <v>0</v>
      </c>
    </row>
    <row r="2194" spans="1:4">
      <c r="A2194" s="12">
        <v>45656</v>
      </c>
      <c r="B2194" s="3">
        <v>96</v>
      </c>
      <c r="C2194" s="3">
        <v>96</v>
      </c>
      <c r="D2194" s="3">
        <f>C2194-B2194</f>
        <v>0</v>
      </c>
    </row>
    <row r="2195" spans="1:4">
      <c r="A2195" s="12">
        <v>45657</v>
      </c>
      <c r="B2195" s="3">
        <v>96</v>
      </c>
      <c r="C2195" s="3">
        <v>96</v>
      </c>
      <c r="D2195" s="3">
        <f>C2195-B2195</f>
        <v>0</v>
      </c>
    </row>
    <row r="2196" spans="1:4">
      <c r="A2196" s="12">
        <v>45658</v>
      </c>
      <c r="B2196" s="3">
        <v>96</v>
      </c>
      <c r="C2196" s="3">
        <v>96</v>
      </c>
      <c r="D2196" s="3">
        <f>C2196-B2196</f>
        <v>0</v>
      </c>
    </row>
    <row r="2197" spans="1:4">
      <c r="A2197" s="12">
        <v>45659</v>
      </c>
      <c r="B2197" s="3">
        <v>96</v>
      </c>
      <c r="C2197" s="3">
        <v>96</v>
      </c>
      <c r="D2197" s="3">
        <f>C2197-B2197</f>
        <v>0</v>
      </c>
    </row>
    <row r="2198" spans="1:4">
      <c r="A2198" s="12">
        <v>45660</v>
      </c>
      <c r="B2198" s="3">
        <v>96</v>
      </c>
      <c r="C2198" s="3">
        <v>96</v>
      </c>
      <c r="D2198" s="3">
        <f>C2198-B2198</f>
        <v>0</v>
      </c>
    </row>
    <row r="2199" spans="1:4">
      <c r="A2199" s="12">
        <v>45661</v>
      </c>
      <c r="B2199" s="3">
        <v>96</v>
      </c>
      <c r="C2199" s="3">
        <v>96</v>
      </c>
      <c r="D2199" s="3">
        <f>C2199-B2199</f>
        <v>0</v>
      </c>
    </row>
    <row r="2200" spans="1:4">
      <c r="A2200" s="12">
        <v>45662</v>
      </c>
      <c r="B2200" s="3">
        <v>96</v>
      </c>
      <c r="C2200" s="3">
        <v>96</v>
      </c>
      <c r="D2200" s="3">
        <f>C2200-B2200</f>
        <v>0</v>
      </c>
    </row>
    <row r="2201" spans="1:4">
      <c r="A2201" s="12">
        <v>45663</v>
      </c>
      <c r="B2201" s="3">
        <v>96</v>
      </c>
      <c r="C2201" s="3">
        <v>96</v>
      </c>
      <c r="D2201" s="3">
        <f>C2201-B2201</f>
        <v>0</v>
      </c>
    </row>
    <row r="2202" spans="1:4">
      <c r="A2202" s="12">
        <v>45664</v>
      </c>
      <c r="B2202" s="3">
        <v>96</v>
      </c>
      <c r="C2202" s="3">
        <v>96</v>
      </c>
      <c r="D2202" s="3">
        <f>C2202-B2202</f>
        <v>0</v>
      </c>
    </row>
    <row r="2203" spans="1:4">
      <c r="A2203" s="12">
        <v>45665</v>
      </c>
      <c r="B2203" s="3">
        <v>96</v>
      </c>
      <c r="C2203" s="3">
        <v>96</v>
      </c>
      <c r="D2203" s="3">
        <f>C2203-B2203</f>
        <v>0</v>
      </c>
    </row>
    <row r="2204" spans="1:4">
      <c r="A2204" s="12">
        <v>45666</v>
      </c>
      <c r="B2204" s="3">
        <v>96</v>
      </c>
      <c r="C2204" s="3">
        <v>96</v>
      </c>
      <c r="D2204" s="3">
        <f>C2204-B2204</f>
        <v>0</v>
      </c>
    </row>
    <row r="2205" spans="1:4">
      <c r="A2205" s="12">
        <v>45667</v>
      </c>
      <c r="B2205" s="3">
        <v>96</v>
      </c>
      <c r="C2205" s="3">
        <v>96</v>
      </c>
      <c r="D2205" s="3">
        <f>C2205-B2205</f>
        <v>0</v>
      </c>
    </row>
    <row r="2206" spans="1:4">
      <c r="A2206" s="12">
        <v>45668</v>
      </c>
      <c r="B2206" s="3">
        <v>96</v>
      </c>
      <c r="C2206" s="3">
        <v>96</v>
      </c>
      <c r="D2206" s="3">
        <f>C2206-B2206</f>
        <v>0</v>
      </c>
    </row>
    <row r="2207" spans="1:4">
      <c r="A2207" s="12">
        <v>45669</v>
      </c>
      <c r="B2207" s="3">
        <v>96</v>
      </c>
      <c r="C2207" s="3">
        <v>96</v>
      </c>
      <c r="D2207" s="3">
        <f>C2207-B2207</f>
        <v>0</v>
      </c>
    </row>
    <row r="2208" spans="1:4">
      <c r="A2208" s="12">
        <v>45670</v>
      </c>
      <c r="B2208" s="3">
        <v>96</v>
      </c>
      <c r="C2208" s="3">
        <v>96</v>
      </c>
      <c r="D2208" s="3">
        <f>C2208-B2208</f>
        <v>0</v>
      </c>
    </row>
    <row r="2209" spans="1:4">
      <c r="A2209" s="12">
        <v>45671</v>
      </c>
      <c r="B2209" s="3">
        <v>96</v>
      </c>
      <c r="C2209" s="3">
        <v>96</v>
      </c>
      <c r="D2209" s="3">
        <f>C2209-B2209</f>
        <v>0</v>
      </c>
    </row>
    <row r="2210" spans="1:4">
      <c r="A2210" s="12">
        <v>45672</v>
      </c>
      <c r="B2210" s="3">
        <v>96</v>
      </c>
      <c r="C2210" s="3">
        <v>96</v>
      </c>
      <c r="D2210" s="3">
        <f>C2210-B2210</f>
        <v>0</v>
      </c>
    </row>
    <row r="2211" spans="1:4">
      <c r="A2211" s="12">
        <v>45673</v>
      </c>
      <c r="B2211" s="3">
        <v>96</v>
      </c>
      <c r="C2211" s="3">
        <v>96</v>
      </c>
      <c r="D2211" s="3">
        <f>C2211-B2211</f>
        <v>0</v>
      </c>
    </row>
    <row r="2212" spans="1:4">
      <c r="A2212" s="12">
        <v>45674</v>
      </c>
      <c r="B2212" s="3">
        <v>96</v>
      </c>
      <c r="C2212" s="3">
        <v>96</v>
      </c>
      <c r="D2212" s="3">
        <f>C2212-B2212</f>
        <v>0</v>
      </c>
    </row>
    <row r="2213" spans="1:4">
      <c r="A2213" s="12">
        <v>45675</v>
      </c>
      <c r="B2213" s="3">
        <v>96</v>
      </c>
      <c r="C2213" s="3">
        <v>96</v>
      </c>
      <c r="D2213" s="3">
        <f>C2213-B2213</f>
        <v>0</v>
      </c>
    </row>
    <row r="2214" spans="1:4">
      <c r="A2214" s="12">
        <v>45676</v>
      </c>
      <c r="B2214" s="3">
        <v>96</v>
      </c>
      <c r="C2214" s="3">
        <v>96</v>
      </c>
      <c r="D2214" s="3">
        <f>C2214-B2214</f>
        <v>0</v>
      </c>
    </row>
    <row r="2215" spans="1:4">
      <c r="A2215" s="12">
        <v>45677</v>
      </c>
      <c r="B2215" s="3">
        <v>96</v>
      </c>
      <c r="C2215" s="3">
        <v>96</v>
      </c>
      <c r="D2215" s="3">
        <f>C2215-B2215</f>
        <v>0</v>
      </c>
    </row>
    <row r="2216" spans="1:4">
      <c r="A2216" s="12">
        <v>45678</v>
      </c>
      <c r="B2216" s="3">
        <v>96</v>
      </c>
      <c r="C2216" s="3">
        <v>96</v>
      </c>
      <c r="D2216" s="3">
        <f>C2216-B2216</f>
        <v>0</v>
      </c>
    </row>
    <row r="2217" spans="1:4">
      <c r="A2217" s="12">
        <v>45679</v>
      </c>
      <c r="B2217" s="3">
        <v>96</v>
      </c>
      <c r="C2217" s="3">
        <v>96</v>
      </c>
      <c r="D2217" s="3">
        <f>C2217-B2217</f>
        <v>0</v>
      </c>
    </row>
    <row r="2218" spans="1:4">
      <c r="A2218" s="12">
        <v>45680</v>
      </c>
      <c r="B2218" s="3">
        <v>96</v>
      </c>
      <c r="C2218" s="3">
        <v>96</v>
      </c>
      <c r="D2218" s="3">
        <f>C2218-B2218</f>
        <v>0</v>
      </c>
    </row>
    <row r="2219" spans="1:4">
      <c r="A2219" s="12">
        <v>45681</v>
      </c>
      <c r="B2219" s="3">
        <v>96</v>
      </c>
      <c r="C2219" s="3">
        <v>96</v>
      </c>
      <c r="D2219" s="3">
        <f>C2219-B2219</f>
        <v>0</v>
      </c>
    </row>
    <row r="2220" spans="1:4">
      <c r="A2220" s="12">
        <v>45682</v>
      </c>
      <c r="B2220" s="3">
        <v>96</v>
      </c>
      <c r="C2220" s="3">
        <v>96</v>
      </c>
      <c r="D2220" s="3">
        <f>C2220-B2220</f>
        <v>0</v>
      </c>
    </row>
    <row r="2221" spans="1:4">
      <c r="A2221" s="12">
        <v>45683</v>
      </c>
      <c r="B2221" s="3">
        <v>96</v>
      </c>
      <c r="C2221" s="3">
        <v>96</v>
      </c>
      <c r="D2221" s="3">
        <f>C2221-B2221</f>
        <v>0</v>
      </c>
    </row>
    <row r="2222" spans="1:4">
      <c r="A2222" s="12">
        <v>45684</v>
      </c>
      <c r="B2222" s="3">
        <v>96</v>
      </c>
      <c r="C2222" s="3">
        <v>96</v>
      </c>
      <c r="D2222" s="3">
        <f>C2222-B2222</f>
        <v>0</v>
      </c>
    </row>
    <row r="2223" spans="1:4">
      <c r="A2223" s="12">
        <v>45685</v>
      </c>
      <c r="B2223" s="3">
        <v>96</v>
      </c>
      <c r="C2223" s="3">
        <v>96</v>
      </c>
      <c r="D2223" s="3">
        <f>C2223-B2223</f>
        <v>0</v>
      </c>
    </row>
    <row r="2224" spans="1:4">
      <c r="A2224" s="12">
        <v>45686</v>
      </c>
      <c r="B2224" s="3">
        <v>96</v>
      </c>
      <c r="C2224" s="3">
        <v>96</v>
      </c>
      <c r="D2224" s="3">
        <f>C2224-B2224</f>
        <v>0</v>
      </c>
    </row>
    <row r="2225" spans="1:4">
      <c r="A2225" s="12">
        <v>45687</v>
      </c>
      <c r="B2225" s="3">
        <v>96</v>
      </c>
      <c r="C2225" s="3">
        <v>96</v>
      </c>
      <c r="D2225" s="3">
        <f>C2225-B2225</f>
        <v>0</v>
      </c>
    </row>
    <row r="2226" spans="1:4">
      <c r="A2226" s="12">
        <v>45688</v>
      </c>
      <c r="B2226" s="3">
        <v>96</v>
      </c>
      <c r="C2226" s="3">
        <v>96</v>
      </c>
      <c r="D2226" s="3">
        <f>C2226-B2226</f>
        <v>0</v>
      </c>
    </row>
    <row r="2227" spans="1:4">
      <c r="A2227" s="12">
        <v>45689</v>
      </c>
      <c r="B2227" s="3">
        <v>96</v>
      </c>
      <c r="C2227" s="3">
        <v>96</v>
      </c>
      <c r="D2227" s="3">
        <f>C2227-B2227</f>
        <v>0</v>
      </c>
    </row>
    <row r="2228" spans="1:4">
      <c r="A2228" s="12">
        <v>45690</v>
      </c>
      <c r="B2228" s="3">
        <v>96</v>
      </c>
      <c r="C2228" s="3">
        <v>96</v>
      </c>
      <c r="D2228" s="3">
        <f>C2228-B2228</f>
        <v>0</v>
      </c>
    </row>
    <row r="2229" spans="1:4">
      <c r="A2229" s="12">
        <v>45691</v>
      </c>
      <c r="B2229" s="3">
        <v>96</v>
      </c>
      <c r="C2229" s="3">
        <v>96</v>
      </c>
      <c r="D2229" s="3">
        <f>C2229-B2229</f>
        <v>0</v>
      </c>
    </row>
    <row r="2230" spans="1:4">
      <c r="A2230" s="12">
        <v>45692</v>
      </c>
      <c r="B2230" s="3">
        <v>96</v>
      </c>
      <c r="C2230" s="3">
        <v>96</v>
      </c>
      <c r="D2230" s="3">
        <f>C2230-B2230</f>
        <v>0</v>
      </c>
    </row>
    <row r="2231" spans="1:4">
      <c r="A2231" s="12">
        <v>45693</v>
      </c>
      <c r="B2231" s="3">
        <v>96</v>
      </c>
      <c r="C2231" s="3">
        <v>96</v>
      </c>
      <c r="D2231" s="3">
        <f>C2231-B2231</f>
        <v>0</v>
      </c>
    </row>
    <row r="2232" spans="1:4">
      <c r="A2232" s="12">
        <v>45694</v>
      </c>
      <c r="B2232" s="3">
        <v>96</v>
      </c>
      <c r="C2232" s="3">
        <v>96</v>
      </c>
      <c r="D2232" s="3">
        <f>C2232-B2232</f>
        <v>0</v>
      </c>
    </row>
    <row r="2233" spans="1:4">
      <c r="A2233" s="12">
        <v>45695</v>
      </c>
      <c r="B2233" s="3">
        <v>96</v>
      </c>
      <c r="C2233" s="3">
        <v>96</v>
      </c>
      <c r="D2233" s="3">
        <f>C2233-B2233</f>
        <v>0</v>
      </c>
    </row>
    <row r="2234" spans="1:4">
      <c r="A2234" s="12">
        <v>45696</v>
      </c>
      <c r="B2234" s="3">
        <v>96</v>
      </c>
      <c r="C2234" s="3">
        <v>96</v>
      </c>
      <c r="D2234" s="3">
        <f>C2234-B2234</f>
        <v>0</v>
      </c>
    </row>
    <row r="2235" spans="1:4">
      <c r="A2235" s="12">
        <v>45697</v>
      </c>
      <c r="B2235" s="3">
        <v>96</v>
      </c>
      <c r="C2235" s="3">
        <v>96</v>
      </c>
      <c r="D2235" s="3">
        <f>C2235-B2235</f>
        <v>0</v>
      </c>
    </row>
    <row r="2236" spans="1:4">
      <c r="A2236" s="12">
        <v>45698</v>
      </c>
      <c r="B2236" s="3">
        <v>96</v>
      </c>
      <c r="C2236" s="3">
        <v>96</v>
      </c>
      <c r="D2236" s="3">
        <f>C2236-B2236</f>
        <v>0</v>
      </c>
    </row>
    <row r="2237" spans="1:4">
      <c r="A2237" s="12">
        <v>45699</v>
      </c>
      <c r="B2237" s="3">
        <v>96</v>
      </c>
      <c r="C2237" s="3">
        <v>96</v>
      </c>
      <c r="D2237" s="3">
        <f>C2237-B2237</f>
        <v>0</v>
      </c>
    </row>
    <row r="2238" spans="1:4">
      <c r="A2238" s="12">
        <v>45700</v>
      </c>
      <c r="B2238" s="3">
        <v>96</v>
      </c>
      <c r="C2238" s="3">
        <v>96</v>
      </c>
      <c r="D2238" s="3">
        <f>C2238-B2238</f>
        <v>0</v>
      </c>
    </row>
    <row r="2239" spans="1:4">
      <c r="A2239" s="12">
        <v>45701</v>
      </c>
      <c r="B2239" s="3">
        <v>96</v>
      </c>
      <c r="C2239" s="3">
        <v>96</v>
      </c>
      <c r="D2239" s="3">
        <f>C2239-B2239</f>
        <v>0</v>
      </c>
    </row>
    <row r="2240" spans="1:4">
      <c r="A2240" s="12">
        <v>45702</v>
      </c>
      <c r="B2240" s="3">
        <v>96</v>
      </c>
      <c r="C2240" s="3">
        <v>96</v>
      </c>
      <c r="D2240" s="3">
        <f>C2240-B2240</f>
        <v>0</v>
      </c>
    </row>
    <row r="2241" spans="1:4">
      <c r="A2241" s="12">
        <v>45703</v>
      </c>
      <c r="B2241" s="3">
        <v>96</v>
      </c>
      <c r="C2241" s="3">
        <v>96</v>
      </c>
      <c r="D2241" s="3">
        <f>C2241-B2241</f>
        <v>0</v>
      </c>
    </row>
    <row r="2242" spans="1:4">
      <c r="A2242" s="12">
        <v>45704</v>
      </c>
      <c r="B2242" s="3">
        <v>96</v>
      </c>
      <c r="C2242" s="3">
        <v>96</v>
      </c>
      <c r="D2242" s="3">
        <f>C2242-B2242</f>
        <v>0</v>
      </c>
    </row>
    <row r="2243" spans="1:4">
      <c r="A2243" s="12">
        <v>45705</v>
      </c>
      <c r="B2243" s="3">
        <v>96</v>
      </c>
      <c r="C2243" s="3">
        <v>96</v>
      </c>
      <c r="D2243" s="3">
        <f>C2243-B2243</f>
        <v>0</v>
      </c>
    </row>
    <row r="2244" spans="1:4">
      <c r="A2244" s="12">
        <v>45706</v>
      </c>
      <c r="B2244" s="3">
        <v>96</v>
      </c>
      <c r="C2244" s="3">
        <v>96</v>
      </c>
      <c r="D2244" s="3">
        <f>C2244-B2244</f>
        <v>0</v>
      </c>
    </row>
    <row r="2245" spans="1:4">
      <c r="A2245" s="12">
        <v>45707</v>
      </c>
      <c r="B2245" s="3">
        <v>96</v>
      </c>
      <c r="C2245" s="3">
        <v>96</v>
      </c>
      <c r="D2245" s="3">
        <f>C2245-B2245</f>
        <v>0</v>
      </c>
    </row>
    <row r="2246" spans="1:4">
      <c r="A2246" s="12">
        <v>45708</v>
      </c>
      <c r="B2246" s="3">
        <v>96</v>
      </c>
      <c r="C2246" s="3">
        <v>96</v>
      </c>
      <c r="D2246" s="3">
        <f>C2246-B2246</f>
        <v>0</v>
      </c>
    </row>
    <row r="2247" spans="1:4">
      <c r="A2247" s="12">
        <v>45709</v>
      </c>
      <c r="B2247" s="3">
        <v>96</v>
      </c>
      <c r="C2247" s="3">
        <v>96</v>
      </c>
      <c r="D2247" s="3">
        <f>C2247-B2247</f>
        <v>0</v>
      </c>
    </row>
    <row r="2248" spans="1:4">
      <c r="A2248" s="12">
        <v>45710</v>
      </c>
      <c r="B2248" s="3">
        <v>96</v>
      </c>
      <c r="C2248" s="3">
        <v>96</v>
      </c>
      <c r="D2248" s="3">
        <f>C2248-B2248</f>
        <v>0</v>
      </c>
    </row>
    <row r="2249" spans="1:4">
      <c r="A2249" s="12">
        <v>45711</v>
      </c>
      <c r="B2249" s="3">
        <v>96</v>
      </c>
      <c r="C2249" s="3">
        <v>96</v>
      </c>
      <c r="D2249" s="3">
        <f>C2249-B2249</f>
        <v>0</v>
      </c>
    </row>
    <row r="2250" spans="1:4">
      <c r="A2250" s="12">
        <v>45712</v>
      </c>
      <c r="B2250" s="3">
        <v>96</v>
      </c>
      <c r="C2250" s="3">
        <v>96</v>
      </c>
      <c r="D2250" s="3">
        <f>C2250-B2250</f>
        <v>0</v>
      </c>
    </row>
    <row r="2251" spans="1:4">
      <c r="A2251" s="12">
        <v>45713</v>
      </c>
      <c r="B2251" s="3">
        <v>96</v>
      </c>
      <c r="C2251" s="3">
        <v>96</v>
      </c>
      <c r="D2251" s="3">
        <f>C2251-B2251</f>
        <v>0</v>
      </c>
    </row>
    <row r="2252" spans="1:4">
      <c r="A2252" s="12">
        <v>45714</v>
      </c>
      <c r="B2252" s="3">
        <v>96</v>
      </c>
      <c r="C2252" s="3">
        <v>96</v>
      </c>
      <c r="D2252" s="3">
        <f>C2252-B2252</f>
        <v>0</v>
      </c>
    </row>
    <row r="2253" spans="1:4">
      <c r="A2253" s="12">
        <v>45715</v>
      </c>
      <c r="B2253" s="3">
        <v>96</v>
      </c>
      <c r="C2253" s="3">
        <v>96</v>
      </c>
      <c r="D2253" s="3">
        <f>C2253-B2253</f>
        <v>0</v>
      </c>
    </row>
    <row r="2254" spans="1:4">
      <c r="A2254" s="12">
        <v>45716</v>
      </c>
      <c r="B2254" s="3">
        <v>96</v>
      </c>
      <c r="C2254" s="3">
        <v>96</v>
      </c>
      <c r="D2254" s="3">
        <f>C2254-B2254</f>
        <v>0</v>
      </c>
    </row>
    <row r="2255" spans="1:4">
      <c r="A2255" s="12">
        <v>45717</v>
      </c>
      <c r="B2255" s="3">
        <v>96</v>
      </c>
      <c r="C2255" s="3">
        <v>96</v>
      </c>
      <c r="D2255" s="3">
        <f>C2255-B2255</f>
        <v>0</v>
      </c>
    </row>
    <row r="2256" spans="1:4">
      <c r="A2256" s="12">
        <v>45718</v>
      </c>
      <c r="B2256" s="3">
        <v>96</v>
      </c>
      <c r="C2256" s="3">
        <v>96</v>
      </c>
      <c r="D2256" s="3">
        <f>C2256-B2256</f>
        <v>0</v>
      </c>
    </row>
    <row r="2257" spans="1:4">
      <c r="A2257" s="12">
        <v>45719</v>
      </c>
      <c r="B2257" s="3">
        <v>96</v>
      </c>
      <c r="C2257" s="3">
        <v>96</v>
      </c>
      <c r="D2257" s="3">
        <f>C2257-B2257</f>
        <v>0</v>
      </c>
    </row>
    <row r="2258" spans="1:4">
      <c r="A2258" s="12">
        <v>45720</v>
      </c>
      <c r="B2258" s="3">
        <v>96</v>
      </c>
      <c r="C2258" s="3">
        <v>96</v>
      </c>
      <c r="D2258" s="3">
        <f>C2258-B2258</f>
        <v>0</v>
      </c>
    </row>
    <row r="2259" spans="1:4">
      <c r="A2259" s="12">
        <v>45721</v>
      </c>
      <c r="B2259" s="3">
        <v>96</v>
      </c>
      <c r="C2259" s="3">
        <v>96</v>
      </c>
      <c r="D2259" s="3">
        <f>C2259-B2259</f>
        <v>0</v>
      </c>
    </row>
    <row r="2260" spans="1:4">
      <c r="A2260" s="12">
        <v>45722</v>
      </c>
      <c r="B2260" s="3">
        <v>96</v>
      </c>
      <c r="C2260" s="3">
        <v>96</v>
      </c>
      <c r="D2260" s="3">
        <f>C2260-B2260</f>
        <v>0</v>
      </c>
    </row>
    <row r="2261" spans="1:4">
      <c r="A2261" s="12">
        <v>45723</v>
      </c>
      <c r="B2261" s="3">
        <v>96</v>
      </c>
      <c r="C2261" s="3">
        <v>96</v>
      </c>
      <c r="D2261" s="3">
        <f>C2261-B2261</f>
        <v>0</v>
      </c>
    </row>
    <row r="2262" spans="1:4">
      <c r="A2262" s="12">
        <v>45724</v>
      </c>
      <c r="B2262" s="3">
        <v>96</v>
      </c>
      <c r="C2262" s="3">
        <v>96</v>
      </c>
      <c r="D2262" s="3">
        <f>C2262-B2262</f>
        <v>0</v>
      </c>
    </row>
    <row r="2263" spans="1:4">
      <c r="A2263" s="12">
        <v>45725</v>
      </c>
      <c r="B2263" s="3">
        <v>96</v>
      </c>
      <c r="C2263" s="3">
        <v>96</v>
      </c>
      <c r="D2263" s="3">
        <f>C2263-B2263</f>
        <v>0</v>
      </c>
    </row>
    <row r="2264" spans="1:4">
      <c r="A2264" s="12">
        <v>45726</v>
      </c>
      <c r="B2264" s="3">
        <v>96</v>
      </c>
      <c r="C2264" s="3">
        <v>96</v>
      </c>
      <c r="D2264" s="3">
        <f>C2264-B2264</f>
        <v>0</v>
      </c>
    </row>
    <row r="2265" spans="1:4">
      <c r="A2265" s="12">
        <v>45727</v>
      </c>
      <c r="B2265" s="3">
        <v>96</v>
      </c>
      <c r="C2265" s="3">
        <v>96</v>
      </c>
      <c r="D2265" s="3">
        <f>C2265-B2265</f>
        <v>0</v>
      </c>
    </row>
    <row r="2266" spans="1:4">
      <c r="A2266" s="12">
        <v>45728</v>
      </c>
      <c r="B2266" s="3">
        <v>96</v>
      </c>
      <c r="C2266" s="3">
        <v>96</v>
      </c>
      <c r="D2266" s="3">
        <f>C2266-B2266</f>
        <v>0</v>
      </c>
    </row>
    <row r="2267" spans="1:4">
      <c r="A2267" s="12">
        <v>45729</v>
      </c>
      <c r="B2267" s="3">
        <v>96</v>
      </c>
      <c r="C2267" s="3">
        <v>96</v>
      </c>
      <c r="D2267" s="3">
        <f>C2267-B2267</f>
        <v>0</v>
      </c>
    </row>
    <row r="2268" spans="1:4">
      <c r="A2268" s="12">
        <v>45730</v>
      </c>
      <c r="B2268" s="3">
        <v>96</v>
      </c>
      <c r="C2268" s="3">
        <v>96</v>
      </c>
      <c r="D2268" s="3">
        <f>C2268-B2268</f>
        <v>0</v>
      </c>
    </row>
    <row r="2269" spans="1:4">
      <c r="A2269" s="12">
        <v>45731</v>
      </c>
      <c r="B2269" s="3">
        <v>96</v>
      </c>
      <c r="C2269" s="3">
        <v>96</v>
      </c>
      <c r="D2269" s="3">
        <f>C2269-B2269</f>
        <v>0</v>
      </c>
    </row>
    <row r="2270" spans="1:4">
      <c r="A2270" s="12">
        <v>45732</v>
      </c>
      <c r="B2270" s="3">
        <v>96</v>
      </c>
      <c r="C2270" s="3">
        <v>96</v>
      </c>
      <c r="D2270" s="3">
        <f>C2270-B2270</f>
        <v>0</v>
      </c>
    </row>
    <row r="2271" spans="1:4">
      <c r="A2271" s="12">
        <v>45733</v>
      </c>
      <c r="B2271" s="3">
        <v>96</v>
      </c>
      <c r="C2271" s="3">
        <v>96</v>
      </c>
      <c r="D2271" s="3">
        <f>C2271-B2271</f>
        <v>0</v>
      </c>
    </row>
    <row r="2272" spans="1:4">
      <c r="A2272" s="12">
        <v>45734</v>
      </c>
      <c r="B2272" s="3">
        <v>96</v>
      </c>
      <c r="C2272" s="3">
        <v>96</v>
      </c>
      <c r="D2272" s="3">
        <f>C2272-B2272</f>
        <v>0</v>
      </c>
    </row>
    <row r="2273" spans="1:4">
      <c r="A2273" s="12">
        <v>45735</v>
      </c>
      <c r="B2273" s="3">
        <v>96</v>
      </c>
      <c r="C2273" s="3">
        <v>96</v>
      </c>
      <c r="D2273" s="3">
        <f>C2273-B2273</f>
        <v>0</v>
      </c>
    </row>
    <row r="2274" spans="1:4">
      <c r="A2274" s="12">
        <v>45736</v>
      </c>
      <c r="B2274" s="3">
        <v>96</v>
      </c>
      <c r="C2274" s="3">
        <v>96</v>
      </c>
      <c r="D2274" s="3">
        <f>C2274-B2274</f>
        <v>0</v>
      </c>
    </row>
    <row r="2275" spans="1:4">
      <c r="A2275" s="12">
        <v>45737</v>
      </c>
      <c r="B2275" s="3">
        <v>96</v>
      </c>
      <c r="C2275" s="3">
        <v>96</v>
      </c>
      <c r="D2275" s="3">
        <f>C2275-B2275</f>
        <v>0</v>
      </c>
    </row>
    <row r="2276" spans="1:4">
      <c r="A2276" s="12">
        <v>45738</v>
      </c>
      <c r="B2276" s="3">
        <v>96</v>
      </c>
      <c r="C2276" s="3">
        <v>96</v>
      </c>
      <c r="D2276" s="3">
        <f>C2276-B2276</f>
        <v>0</v>
      </c>
    </row>
    <row r="2277" spans="1:4">
      <c r="A2277" s="12">
        <v>45739</v>
      </c>
      <c r="B2277" s="3">
        <v>96</v>
      </c>
      <c r="C2277" s="3">
        <v>96</v>
      </c>
      <c r="D2277" s="3">
        <f>C2277-B2277</f>
        <v>0</v>
      </c>
    </row>
    <row r="2278" spans="1:4">
      <c r="A2278" s="12">
        <v>45740</v>
      </c>
      <c r="B2278" s="3">
        <v>96</v>
      </c>
      <c r="C2278" s="3">
        <v>96</v>
      </c>
      <c r="D2278" s="3">
        <f>C2278-B2278</f>
        <v>0</v>
      </c>
    </row>
    <row r="2279" spans="1:4">
      <c r="A2279" s="12">
        <v>45741</v>
      </c>
      <c r="B2279" s="3">
        <v>96</v>
      </c>
      <c r="C2279" s="3">
        <v>96</v>
      </c>
      <c r="D2279" s="3">
        <f>C2279-B2279</f>
        <v>0</v>
      </c>
    </row>
    <row r="2280" spans="1:4">
      <c r="A2280" s="12">
        <v>45742</v>
      </c>
      <c r="B2280" s="3">
        <v>96</v>
      </c>
      <c r="C2280" s="3">
        <v>96</v>
      </c>
      <c r="D2280" s="3">
        <f>C2280-B2280</f>
        <v>0</v>
      </c>
    </row>
    <row r="2281" spans="1:4">
      <c r="A2281" s="12">
        <v>45743</v>
      </c>
      <c r="B2281" s="3">
        <v>96</v>
      </c>
      <c r="C2281" s="3">
        <v>96</v>
      </c>
      <c r="D2281" s="3">
        <f>C2281-B2281</f>
        <v>0</v>
      </c>
    </row>
    <row r="2282" spans="1:4">
      <c r="A2282" s="12">
        <v>45744</v>
      </c>
      <c r="B2282" s="3">
        <v>96</v>
      </c>
      <c r="C2282" s="3">
        <v>96</v>
      </c>
      <c r="D2282" s="3">
        <f>C2282-B2282</f>
        <v>0</v>
      </c>
    </row>
    <row r="2283" spans="1:4">
      <c r="A2283" s="12">
        <v>45745</v>
      </c>
      <c r="B2283" s="3">
        <v>96</v>
      </c>
      <c r="C2283" s="3">
        <v>96</v>
      </c>
      <c r="D2283" s="3">
        <f>C2283-B2283</f>
        <v>0</v>
      </c>
    </row>
    <row r="2284" spans="1:4">
      <c r="A2284" s="12">
        <v>45746</v>
      </c>
      <c r="B2284" s="3">
        <v>92</v>
      </c>
      <c r="C2284" s="3">
        <v>92</v>
      </c>
      <c r="D2284" s="3">
        <f>C2284-B2284</f>
        <v>0</v>
      </c>
    </row>
    <row r="2285" spans="1:4">
      <c r="A2285" s="12">
        <v>45747</v>
      </c>
      <c r="B2285" s="3">
        <v>96</v>
      </c>
      <c r="C2285" s="3">
        <v>96</v>
      </c>
      <c r="D2285" s="3">
        <f>C2285-B2285</f>
        <v>0</v>
      </c>
    </row>
    <row r="2286" spans="1:4">
      <c r="A2286" s="12">
        <v>45748</v>
      </c>
      <c r="B2286" s="3">
        <v>96</v>
      </c>
      <c r="C2286" s="3">
        <v>96</v>
      </c>
      <c r="D2286" s="3">
        <f>C2286-B2286</f>
        <v>0</v>
      </c>
    </row>
    <row r="2287" spans="1:4">
      <c r="A2287" s="12">
        <v>45749</v>
      </c>
      <c r="B2287" s="3">
        <v>96</v>
      </c>
      <c r="C2287" s="3">
        <v>96</v>
      </c>
      <c r="D2287" s="3">
        <f>C2287-B2287</f>
        <v>0</v>
      </c>
    </row>
    <row r="2288" spans="1:4">
      <c r="A2288" s="12">
        <v>45750</v>
      </c>
      <c r="B2288" s="3">
        <v>96</v>
      </c>
      <c r="C2288" s="3">
        <v>96</v>
      </c>
      <c r="D2288" s="3">
        <f>C2288-B2288</f>
        <v>0</v>
      </c>
    </row>
    <row r="2289" spans="1:4">
      <c r="A2289" s="12">
        <v>45751</v>
      </c>
      <c r="B2289" s="3">
        <v>96</v>
      </c>
      <c r="C2289" s="3">
        <v>96</v>
      </c>
      <c r="D2289" s="3">
        <f>C2289-B2289</f>
        <v>0</v>
      </c>
    </row>
    <row r="2290" spans="1:4">
      <c r="A2290" s="12">
        <v>45752</v>
      </c>
      <c r="B2290" s="3">
        <v>96</v>
      </c>
      <c r="C2290" s="3">
        <v>96</v>
      </c>
      <c r="D2290" s="3">
        <f>C2290-B2290</f>
        <v>0</v>
      </c>
    </row>
    <row r="2291" spans="1:4">
      <c r="A2291" s="12">
        <v>45753</v>
      </c>
      <c r="B2291" s="3">
        <v>96</v>
      </c>
      <c r="C2291" s="3">
        <v>96</v>
      </c>
      <c r="D2291" s="3">
        <f>C2291-B2291</f>
        <v>0</v>
      </c>
    </row>
    <row r="2292" spans="1:4">
      <c r="A2292" s="12">
        <v>45754</v>
      </c>
      <c r="B2292" s="3">
        <v>96</v>
      </c>
      <c r="C2292" s="3">
        <v>96</v>
      </c>
      <c r="D2292" s="3">
        <f>C2292-B2292</f>
        <v>0</v>
      </c>
    </row>
    <row r="2293" spans="1:4">
      <c r="A2293" s="12">
        <v>45755</v>
      </c>
      <c r="B2293" s="3">
        <v>96</v>
      </c>
      <c r="C2293" s="3">
        <v>96</v>
      </c>
      <c r="D2293" s="3">
        <f>C2293-B2293</f>
        <v>0</v>
      </c>
    </row>
    <row r="2294" spans="1:4">
      <c r="A2294" s="12">
        <v>45756</v>
      </c>
      <c r="B2294" s="3">
        <v>96</v>
      </c>
      <c r="C2294" s="3">
        <v>96</v>
      </c>
      <c r="D2294" s="3">
        <f>C2294-B2294</f>
        <v>0</v>
      </c>
    </row>
    <row r="2295" spans="1:4">
      <c r="A2295" s="12">
        <v>45757</v>
      </c>
      <c r="B2295" s="3">
        <v>96</v>
      </c>
      <c r="C2295" s="3">
        <v>96</v>
      </c>
      <c r="D2295" s="3">
        <f>C2295-B2295</f>
        <v>0</v>
      </c>
    </row>
    <row r="2296" spans="1:4">
      <c r="A2296" s="12">
        <v>45758</v>
      </c>
      <c r="B2296" s="3">
        <v>96</v>
      </c>
      <c r="C2296" s="3">
        <v>96</v>
      </c>
      <c r="D2296" s="3">
        <f>C2296-B2296</f>
        <v>0</v>
      </c>
    </row>
    <row r="2297" spans="1:4">
      <c r="A2297" s="12">
        <v>45759</v>
      </c>
      <c r="B2297" s="3">
        <v>96</v>
      </c>
      <c r="C2297" s="3">
        <v>96</v>
      </c>
      <c r="D2297" s="3">
        <f>C2297-B2297</f>
        <v>0</v>
      </c>
    </row>
    <row r="2298" spans="1:4">
      <c r="A2298" s="12">
        <v>45760</v>
      </c>
      <c r="B2298" s="3">
        <v>96</v>
      </c>
      <c r="C2298" s="3">
        <v>96</v>
      </c>
      <c r="D2298" s="3">
        <f>C2298-B2298</f>
        <v>0</v>
      </c>
    </row>
    <row r="2299" spans="1:4">
      <c r="A2299" s="12">
        <v>45761</v>
      </c>
      <c r="B2299" s="3">
        <v>96</v>
      </c>
      <c r="C2299" s="3">
        <v>96</v>
      </c>
      <c r="D2299" s="3">
        <f>C2299-B2299</f>
        <v>0</v>
      </c>
    </row>
    <row r="2300" spans="1:4">
      <c r="A2300" s="12">
        <v>45762</v>
      </c>
      <c r="B2300" s="3">
        <v>96</v>
      </c>
      <c r="C2300" s="3">
        <v>96</v>
      </c>
      <c r="D2300" s="3">
        <f>C2300-B2300</f>
        <v>0</v>
      </c>
    </row>
    <row r="2301" spans="1:4">
      <c r="A2301" s="12">
        <v>45763</v>
      </c>
      <c r="B2301" s="3">
        <v>96</v>
      </c>
      <c r="C2301" s="3">
        <v>96</v>
      </c>
      <c r="D2301" s="3">
        <f>C2301-B2301</f>
        <v>0</v>
      </c>
    </row>
    <row r="2302" spans="1:4">
      <c r="A2302" s="12">
        <v>45764</v>
      </c>
      <c r="B2302" s="3">
        <v>96</v>
      </c>
      <c r="C2302" s="3">
        <v>96</v>
      </c>
      <c r="D2302" s="3">
        <f>C2302-B2302</f>
        <v>0</v>
      </c>
    </row>
    <row r="2303" spans="1:4">
      <c r="A2303" s="12">
        <v>45765</v>
      </c>
      <c r="B2303" s="3">
        <v>96</v>
      </c>
      <c r="C2303" s="3">
        <v>96</v>
      </c>
      <c r="D2303" s="3">
        <f>C2303-B2303</f>
        <v>0</v>
      </c>
    </row>
    <row r="2304" spans="1:4">
      <c r="A2304" s="12">
        <v>45766</v>
      </c>
      <c r="B2304" s="3">
        <v>96</v>
      </c>
      <c r="C2304" s="3">
        <v>96</v>
      </c>
      <c r="D2304" s="3">
        <f>C2304-B2304</f>
        <v>0</v>
      </c>
    </row>
    <row r="2305" spans="1:4">
      <c r="A2305" s="12">
        <v>45767</v>
      </c>
      <c r="B2305" s="3">
        <v>96</v>
      </c>
      <c r="C2305" s="3">
        <v>96</v>
      </c>
      <c r="D2305" s="3">
        <f>C2305-B2305</f>
        <v>0</v>
      </c>
    </row>
    <row r="2306" spans="1:4">
      <c r="A2306" s="12">
        <v>45768</v>
      </c>
      <c r="B2306" s="3">
        <v>96</v>
      </c>
      <c r="C2306" s="3">
        <v>96</v>
      </c>
      <c r="D2306" s="3">
        <f>C2306-B2306</f>
        <v>0</v>
      </c>
    </row>
    <row r="2307" spans="1:4">
      <c r="A2307" s="12">
        <v>45769</v>
      </c>
      <c r="B2307" s="3">
        <v>96</v>
      </c>
      <c r="C2307" s="3">
        <v>96</v>
      </c>
      <c r="D2307" s="3">
        <f>C2307-B2307</f>
        <v>0</v>
      </c>
    </row>
    <row r="2308" spans="1:4">
      <c r="A2308" s="12">
        <v>45770</v>
      </c>
      <c r="B2308" s="3">
        <v>96</v>
      </c>
      <c r="C2308" s="3">
        <v>96</v>
      </c>
      <c r="D2308" s="3">
        <f>C2308-B2308</f>
        <v>0</v>
      </c>
    </row>
    <row r="2309" spans="1:4">
      <c r="A2309" s="12">
        <v>45771</v>
      </c>
      <c r="B2309" s="3">
        <v>96</v>
      </c>
      <c r="C2309" s="3">
        <v>96</v>
      </c>
      <c r="D2309" s="3">
        <f>C2309-B2309</f>
        <v>0</v>
      </c>
    </row>
    <row r="2310" spans="1:4">
      <c r="A2310" s="12">
        <v>45772</v>
      </c>
      <c r="B2310" s="3">
        <v>96</v>
      </c>
      <c r="C2310" s="3">
        <v>96</v>
      </c>
      <c r="D2310" s="3">
        <f>C2310-B2310</f>
        <v>0</v>
      </c>
    </row>
    <row r="2311" spans="1:4">
      <c r="A2311" s="12">
        <v>45773</v>
      </c>
      <c r="B2311" s="3">
        <v>96</v>
      </c>
      <c r="C2311" s="3">
        <v>96</v>
      </c>
      <c r="D2311" s="3">
        <f>C2311-B2311</f>
        <v>0</v>
      </c>
    </row>
    <row r="2312" spans="1:4">
      <c r="A2312" s="12">
        <v>45774</v>
      </c>
      <c r="B2312" s="3">
        <v>96</v>
      </c>
      <c r="C2312" s="3">
        <v>96</v>
      </c>
      <c r="D2312" s="3">
        <f>C2312-B2312</f>
        <v>0</v>
      </c>
    </row>
    <row r="2313" spans="1:4">
      <c r="A2313" s="12">
        <v>45775</v>
      </c>
      <c r="B2313" s="3">
        <v>96</v>
      </c>
      <c r="C2313" s="3">
        <v>96</v>
      </c>
      <c r="D2313" s="3">
        <f>C2313-B2313</f>
        <v>0</v>
      </c>
    </row>
    <row r="2314" spans="1:4">
      <c r="A2314" s="12">
        <v>45776</v>
      </c>
      <c r="B2314" s="3">
        <v>96</v>
      </c>
      <c r="C2314" s="3">
        <v>96</v>
      </c>
      <c r="D2314" s="3">
        <f>C2314-B2314</f>
        <v>0</v>
      </c>
    </row>
    <row r="2315" spans="1:4">
      <c r="A2315" s="12">
        <v>45777</v>
      </c>
      <c r="B2315" s="3">
        <v>96</v>
      </c>
      <c r="C2315" s="3">
        <v>96</v>
      </c>
      <c r="D2315" s="3">
        <f>C2315-B2315</f>
        <v>0</v>
      </c>
    </row>
    <row r="2316" spans="1:4">
      <c r="A2316" s="12">
        <v>45778</v>
      </c>
      <c r="B2316" s="3">
        <v>96</v>
      </c>
      <c r="C2316" s="3">
        <v>96</v>
      </c>
      <c r="D2316" s="3">
        <f>C2316-B2316</f>
        <v>0</v>
      </c>
    </row>
    <row r="2317" spans="1:4">
      <c r="A2317" s="12">
        <v>45779</v>
      </c>
      <c r="B2317" s="3">
        <v>96</v>
      </c>
      <c r="C2317" s="3">
        <v>96</v>
      </c>
      <c r="D2317" s="3">
        <f>C2317-B2317</f>
        <v>0</v>
      </c>
    </row>
    <row r="2318" spans="1:4">
      <c r="A2318" s="12">
        <v>45780</v>
      </c>
      <c r="B2318" s="3">
        <v>96</v>
      </c>
      <c r="C2318" s="3">
        <v>96</v>
      </c>
      <c r="D2318" s="3">
        <f>C2318-B2318</f>
        <v>0</v>
      </c>
    </row>
    <row r="2319" spans="1:4">
      <c r="A2319" s="12">
        <v>45781</v>
      </c>
      <c r="B2319" s="3">
        <v>96</v>
      </c>
      <c r="C2319" s="3">
        <v>96</v>
      </c>
      <c r="D2319" s="3">
        <f>C2319-B2319</f>
        <v>0</v>
      </c>
    </row>
    <row r="2320" spans="1:4">
      <c r="A2320" s="12">
        <v>45782</v>
      </c>
      <c r="B2320" s="3">
        <v>96</v>
      </c>
      <c r="C2320" s="3">
        <v>96</v>
      </c>
      <c r="D2320" s="3">
        <f>C2320-B2320</f>
        <v>0</v>
      </c>
    </row>
    <row r="2321" spans="1:4">
      <c r="A2321" s="12">
        <v>45783</v>
      </c>
      <c r="B2321" s="3">
        <v>96</v>
      </c>
      <c r="C2321" s="3">
        <v>96</v>
      </c>
      <c r="D2321" s="3">
        <f>C2321-B2321</f>
        <v>0</v>
      </c>
    </row>
    <row r="2322" spans="1:4">
      <c r="A2322" s="12">
        <v>45784</v>
      </c>
      <c r="B2322" s="3">
        <v>96</v>
      </c>
      <c r="C2322" s="3">
        <v>96</v>
      </c>
      <c r="D2322" s="3">
        <f>C2322-B2322</f>
        <v>0</v>
      </c>
    </row>
    <row r="2323" spans="1:4">
      <c r="A2323" s="12">
        <v>45785</v>
      </c>
      <c r="B2323" s="3">
        <v>96</v>
      </c>
      <c r="C2323" s="3">
        <v>96</v>
      </c>
      <c r="D2323" s="3">
        <f>C2323-B2323</f>
        <v>0</v>
      </c>
    </row>
    <row r="2324" spans="1:4">
      <c r="A2324" s="12">
        <v>45786</v>
      </c>
      <c r="B2324" s="3">
        <v>96</v>
      </c>
      <c r="C2324" s="3">
        <v>96</v>
      </c>
      <c r="D2324" s="3">
        <f>C2324-B2324</f>
        <v>0</v>
      </c>
    </row>
    <row r="2325" spans="1:4">
      <c r="A2325" s="12">
        <v>45787</v>
      </c>
      <c r="B2325" s="3">
        <v>96</v>
      </c>
      <c r="C2325" s="3">
        <v>96</v>
      </c>
      <c r="D2325" s="3">
        <f>C2325-B2325</f>
        <v>0</v>
      </c>
    </row>
    <row r="2326" spans="1:4">
      <c r="A2326" s="12">
        <v>45788</v>
      </c>
      <c r="B2326" s="3">
        <v>96</v>
      </c>
      <c r="C2326" s="3">
        <v>96</v>
      </c>
      <c r="D2326" s="3">
        <f>C2326-B2326</f>
        <v>0</v>
      </c>
    </row>
    <row r="2327" spans="1:4">
      <c r="A2327" s="12">
        <v>45789</v>
      </c>
      <c r="B2327" s="3">
        <v>96</v>
      </c>
      <c r="C2327" s="3">
        <v>96</v>
      </c>
      <c r="D2327" s="3">
        <f>C2327-B2327</f>
        <v>0</v>
      </c>
    </row>
    <row r="2328" spans="1:4">
      <c r="A2328" s="12">
        <v>45790</v>
      </c>
      <c r="B2328" s="3">
        <v>96</v>
      </c>
      <c r="C2328" s="3">
        <v>96</v>
      </c>
      <c r="D2328" s="3">
        <f>C2328-B2328</f>
        <v>0</v>
      </c>
    </row>
    <row r="2329" spans="1:4">
      <c r="A2329" s="12">
        <v>45791</v>
      </c>
      <c r="B2329" s="3">
        <v>96</v>
      </c>
      <c r="C2329" s="3">
        <v>96</v>
      </c>
      <c r="D2329" s="3">
        <f>C2329-B2329</f>
        <v>0</v>
      </c>
    </row>
    <row r="2330" spans="1:4">
      <c r="A2330" s="12">
        <v>45792</v>
      </c>
      <c r="B2330" s="3">
        <v>96</v>
      </c>
      <c r="C2330" s="3">
        <v>96</v>
      </c>
      <c r="D2330" s="3">
        <f>C2330-B2330</f>
        <v>0</v>
      </c>
    </row>
    <row r="2331" spans="1:4">
      <c r="A2331" s="12">
        <v>45793</v>
      </c>
      <c r="B2331" s="3">
        <v>96</v>
      </c>
      <c r="C2331" s="3">
        <v>96</v>
      </c>
      <c r="D2331" s="3">
        <f>C2331-B2331</f>
        <v>0</v>
      </c>
    </row>
    <row r="2332" spans="1:4">
      <c r="A2332" s="12">
        <v>45794</v>
      </c>
      <c r="B2332" s="3">
        <v>96</v>
      </c>
      <c r="C2332" s="3">
        <v>96</v>
      </c>
      <c r="D2332" s="3">
        <f>C2332-B2332</f>
        <v>0</v>
      </c>
    </row>
    <row r="2333" spans="1:4">
      <c r="A2333" s="12">
        <v>45795</v>
      </c>
      <c r="B2333" s="3">
        <v>96</v>
      </c>
      <c r="C2333" s="3">
        <v>96</v>
      </c>
      <c r="D2333" s="3">
        <f>C2333-B2333</f>
        <v>0</v>
      </c>
    </row>
    <row r="2334" spans="1:4">
      <c r="A2334" s="12">
        <v>45796</v>
      </c>
      <c r="B2334" s="3">
        <v>96</v>
      </c>
      <c r="C2334" s="3">
        <v>96</v>
      </c>
      <c r="D2334" s="3">
        <f>C2334-B2334</f>
        <v>0</v>
      </c>
    </row>
    <row r="2335" spans="1:4">
      <c r="A2335" s="12">
        <v>45797</v>
      </c>
      <c r="B2335" s="3">
        <v>96</v>
      </c>
      <c r="C2335" s="3">
        <v>96</v>
      </c>
      <c r="D2335" s="3">
        <f>C2335-B2335</f>
        <v>0</v>
      </c>
    </row>
    <row r="2336" spans="1:4">
      <c r="A2336" s="12">
        <v>45798</v>
      </c>
      <c r="B2336" s="3">
        <v>96</v>
      </c>
      <c r="C2336" s="3">
        <v>96</v>
      </c>
      <c r="D2336" s="3">
        <f>C2336-B2336</f>
        <v>0</v>
      </c>
    </row>
    <row r="2337" spans="1:4">
      <c r="A2337" s="12">
        <v>45799</v>
      </c>
      <c r="B2337" s="3">
        <v>96</v>
      </c>
      <c r="C2337" s="3">
        <v>96</v>
      </c>
      <c r="D2337" s="3">
        <f>C2337-B2337</f>
        <v>0</v>
      </c>
    </row>
    <row r="2338" spans="1:4">
      <c r="A2338" s="12">
        <v>45800</v>
      </c>
      <c r="B2338" s="3">
        <v>96</v>
      </c>
      <c r="C2338" s="3">
        <v>96</v>
      </c>
      <c r="D2338" s="3">
        <f>C2338-B2338</f>
        <v>0</v>
      </c>
    </row>
    <row r="2339" spans="1:4">
      <c r="A2339" s="12">
        <v>45801</v>
      </c>
      <c r="B2339" s="3">
        <v>96</v>
      </c>
      <c r="C2339" s="3">
        <v>96</v>
      </c>
      <c r="D2339" s="3">
        <f>C2339-B2339</f>
        <v>0</v>
      </c>
    </row>
    <row r="2340" spans="1:4">
      <c r="A2340" s="12">
        <v>45802</v>
      </c>
      <c r="B2340" s="3">
        <v>96</v>
      </c>
      <c r="C2340" s="3">
        <v>96</v>
      </c>
      <c r="D2340" s="3">
        <f>C2340-B2340</f>
        <v>0</v>
      </c>
    </row>
    <row r="2341" spans="1:4">
      <c r="A2341" s="12">
        <v>45803</v>
      </c>
      <c r="B2341" s="3">
        <v>96</v>
      </c>
      <c r="C2341" s="3">
        <v>96</v>
      </c>
      <c r="D2341" s="3">
        <f>C2341-B2341</f>
        <v>0</v>
      </c>
    </row>
    <row r="2342" spans="1:4">
      <c r="A2342" s="12">
        <v>45804</v>
      </c>
      <c r="B2342" s="3">
        <v>96</v>
      </c>
      <c r="C2342" s="3">
        <v>96</v>
      </c>
      <c r="D2342" s="3">
        <f>C2342-B2342</f>
        <v>0</v>
      </c>
    </row>
    <row r="2343" spans="1:4">
      <c r="A2343" s="12">
        <v>45805</v>
      </c>
      <c r="B2343" s="3">
        <v>96</v>
      </c>
      <c r="C2343" s="3">
        <v>96</v>
      </c>
      <c r="D2343" s="3">
        <f>C2343-B2343</f>
        <v>0</v>
      </c>
    </row>
    <row r="2344" spans="1:4">
      <c r="A2344" s="12">
        <v>45806</v>
      </c>
      <c r="B2344" s="3">
        <v>96</v>
      </c>
      <c r="C2344" s="3">
        <v>96</v>
      </c>
      <c r="D2344" s="3">
        <f>C2344-B2344</f>
        <v>0</v>
      </c>
    </row>
    <row r="2345" spans="1:4">
      <c r="A2345" s="12">
        <v>45807</v>
      </c>
      <c r="B2345" s="3">
        <v>96</v>
      </c>
      <c r="C2345" s="3">
        <v>96</v>
      </c>
      <c r="D2345" s="3">
        <f>C2345-B2345</f>
        <v>0</v>
      </c>
    </row>
    <row r="2346" spans="1:4">
      <c r="A2346" s="12">
        <v>45808</v>
      </c>
      <c r="B2346" s="3">
        <v>96</v>
      </c>
      <c r="C2346" s="3">
        <v>96</v>
      </c>
      <c r="D2346" s="3">
        <f>C2346-B2346</f>
        <v>0</v>
      </c>
    </row>
    <row r="2347" spans="1:4">
      <c r="A2347" s="12">
        <v>45809</v>
      </c>
      <c r="B2347" s="3">
        <v>96</v>
      </c>
      <c r="C2347" s="3">
        <v>96</v>
      </c>
      <c r="D2347" s="3">
        <f>C2347-B2347</f>
        <v>0</v>
      </c>
    </row>
    <row r="2348" spans="1:4">
      <c r="A2348" s="12">
        <v>45810</v>
      </c>
      <c r="B2348" s="3">
        <v>96</v>
      </c>
      <c r="C2348" s="3">
        <v>96</v>
      </c>
      <c r="D2348" s="3">
        <f>C2348-B2348</f>
        <v>0</v>
      </c>
    </row>
    <row r="2349" spans="1:4">
      <c r="A2349" s="12">
        <v>45811</v>
      </c>
      <c r="B2349" s="3">
        <v>96</v>
      </c>
      <c r="C2349" s="3">
        <v>96</v>
      </c>
      <c r="D2349" s="3">
        <f>C2349-B2349</f>
        <v>0</v>
      </c>
    </row>
    <row r="2350" spans="1:4">
      <c r="A2350" s="12">
        <v>45812</v>
      </c>
      <c r="B2350" s="3">
        <v>96</v>
      </c>
      <c r="C2350" s="3">
        <v>96</v>
      </c>
      <c r="D2350" s="3">
        <f>C2350-B2350</f>
        <v>0</v>
      </c>
    </row>
    <row r="2351" spans="1:4">
      <c r="A2351" s="12">
        <v>45813</v>
      </c>
      <c r="B2351" s="3">
        <v>96</v>
      </c>
      <c r="C2351" s="3">
        <v>96</v>
      </c>
      <c r="D2351" s="3">
        <f>C2351-B2351</f>
        <v>0</v>
      </c>
    </row>
    <row r="2352" spans="1:4">
      <c r="A2352" s="12">
        <v>45814</v>
      </c>
      <c r="B2352" s="3">
        <v>96</v>
      </c>
      <c r="C2352" s="3">
        <v>96</v>
      </c>
      <c r="D2352" s="3">
        <f>C2352-B2352</f>
        <v>0</v>
      </c>
    </row>
    <row r="2353" spans="1:4">
      <c r="A2353" s="12">
        <v>45815</v>
      </c>
      <c r="B2353" s="3">
        <v>96</v>
      </c>
      <c r="C2353" s="3">
        <v>96</v>
      </c>
      <c r="D2353" s="3">
        <f>C2353-B2353</f>
        <v>0</v>
      </c>
    </row>
    <row r="2354" spans="1:4">
      <c r="A2354" s="12">
        <v>45816</v>
      </c>
      <c r="B2354" s="3">
        <v>96</v>
      </c>
      <c r="C2354" s="3">
        <v>96</v>
      </c>
      <c r="D2354" s="3">
        <f>C2354-B2354</f>
        <v>0</v>
      </c>
    </row>
    <row r="2355" spans="1:4">
      <c r="A2355" s="12">
        <v>45817</v>
      </c>
      <c r="B2355" s="3">
        <v>96</v>
      </c>
      <c r="C2355" s="3">
        <v>96</v>
      </c>
      <c r="D2355" s="3">
        <f>C2355-B2355</f>
        <v>0</v>
      </c>
    </row>
    <row r="2356" spans="1:4">
      <c r="A2356" s="12">
        <v>45818</v>
      </c>
      <c r="B2356" s="3">
        <v>96</v>
      </c>
      <c r="C2356" s="3">
        <v>96</v>
      </c>
      <c r="D2356" s="3">
        <f>C2356-B2356</f>
        <v>0</v>
      </c>
    </row>
    <row r="2357" spans="1:4">
      <c r="A2357" s="12">
        <v>45819</v>
      </c>
      <c r="B2357" s="3">
        <v>96</v>
      </c>
      <c r="C2357" s="3">
        <v>96</v>
      </c>
      <c r="D2357" s="3">
        <f>C2357-B2357</f>
        <v>0</v>
      </c>
    </row>
    <row r="2358" spans="1:4">
      <c r="A2358" s="12">
        <v>45820</v>
      </c>
      <c r="B2358" s="3">
        <v>96</v>
      </c>
      <c r="C2358" s="3">
        <v>96</v>
      </c>
      <c r="D2358" s="3">
        <f>C2358-B2358</f>
        <v>0</v>
      </c>
    </row>
    <row r="2359" spans="1:4">
      <c r="A2359" s="12">
        <v>45821</v>
      </c>
      <c r="B2359" s="3">
        <v>96</v>
      </c>
      <c r="C2359" s="3">
        <v>96</v>
      </c>
      <c r="D2359" s="3">
        <f>C2359-B2359</f>
        <v>0</v>
      </c>
    </row>
    <row r="2360" spans="1:4">
      <c r="A2360" s="12">
        <v>45822</v>
      </c>
      <c r="B2360" s="3">
        <v>96</v>
      </c>
      <c r="C2360" s="3">
        <v>96</v>
      </c>
      <c r="D2360" s="3">
        <f>C2360-B2360</f>
        <v>0</v>
      </c>
    </row>
    <row r="2361" spans="1:4">
      <c r="A2361" s="12">
        <v>45823</v>
      </c>
      <c r="B2361" s="3">
        <v>96</v>
      </c>
      <c r="C2361" s="3">
        <v>96</v>
      </c>
      <c r="D2361" s="3">
        <f>C2361-B2361</f>
        <v>0</v>
      </c>
    </row>
    <row r="2362" spans="1:4">
      <c r="A2362" s="12">
        <v>45824</v>
      </c>
      <c r="B2362" s="3">
        <v>96</v>
      </c>
      <c r="C2362" s="3">
        <v>96</v>
      </c>
      <c r="D2362" s="3">
        <f>C2362-B2362</f>
        <v>0</v>
      </c>
    </row>
    <row r="2363" spans="1:4">
      <c r="A2363" s="12">
        <v>45825</v>
      </c>
      <c r="B2363" s="3">
        <v>96</v>
      </c>
      <c r="C2363" s="3">
        <v>96</v>
      </c>
      <c r="D2363" s="3">
        <f>C2363-B2363</f>
        <v>0</v>
      </c>
    </row>
    <row r="2364" spans="1:4">
      <c r="A2364" s="12">
        <v>45826</v>
      </c>
      <c r="B2364" s="3">
        <v>96</v>
      </c>
      <c r="C2364" s="3">
        <v>96</v>
      </c>
      <c r="D2364" s="3">
        <f>C2364-B2364</f>
        <v>0</v>
      </c>
    </row>
    <row r="2365" spans="1:4">
      <c r="A2365" s="12">
        <v>45827</v>
      </c>
      <c r="B2365" s="3">
        <v>96</v>
      </c>
      <c r="C2365" s="3">
        <v>96</v>
      </c>
      <c r="D2365" s="3">
        <f>C2365-B2365</f>
        <v>0</v>
      </c>
    </row>
    <row r="2366" spans="1:4">
      <c r="A2366" s="12">
        <v>45828</v>
      </c>
      <c r="B2366" s="3">
        <v>96</v>
      </c>
      <c r="C2366" s="3">
        <v>96</v>
      </c>
      <c r="D2366" s="3">
        <f>C2366-B2366</f>
        <v>0</v>
      </c>
    </row>
    <row r="2367" spans="1:4">
      <c r="A2367" s="12">
        <v>45829</v>
      </c>
      <c r="B2367" s="3">
        <v>96</v>
      </c>
      <c r="C2367" s="3">
        <v>96</v>
      </c>
      <c r="D2367" s="3">
        <f>C2367-B2367</f>
        <v>0</v>
      </c>
    </row>
    <row r="2368" spans="1:4">
      <c r="A2368" s="12">
        <v>45830</v>
      </c>
      <c r="B2368" s="3">
        <v>96</v>
      </c>
      <c r="C2368" s="3">
        <v>96</v>
      </c>
      <c r="D2368" s="3">
        <f>C2368-B2368</f>
        <v>0</v>
      </c>
    </row>
    <row r="2369" spans="1:4">
      <c r="A2369" s="12">
        <v>45831</v>
      </c>
      <c r="B2369" s="3">
        <v>96</v>
      </c>
      <c r="C2369" s="3">
        <v>96</v>
      </c>
      <c r="D2369" s="3">
        <f>C2369-B2369</f>
        <v>0</v>
      </c>
    </row>
    <row r="2370" spans="1:4">
      <c r="A2370" s="12">
        <v>45832</v>
      </c>
      <c r="B2370" s="3">
        <v>96</v>
      </c>
      <c r="C2370" s="3">
        <v>96</v>
      </c>
      <c r="D2370" s="3">
        <f>C2370-B2370</f>
        <v>0</v>
      </c>
    </row>
    <row r="2371" spans="1:4">
      <c r="A2371" s="12">
        <v>45833</v>
      </c>
      <c r="B2371" s="3">
        <v>96</v>
      </c>
      <c r="C2371" s="3">
        <v>96</v>
      </c>
      <c r="D2371" s="3">
        <f>C2371-B2371</f>
        <v>0</v>
      </c>
    </row>
    <row r="2372" spans="1:4">
      <c r="A2372" s="12">
        <v>45834</v>
      </c>
      <c r="B2372" s="3">
        <v>96</v>
      </c>
      <c r="C2372" s="3">
        <v>96</v>
      </c>
      <c r="D2372" s="3">
        <f>C2372-B2372</f>
        <v>0</v>
      </c>
    </row>
    <row r="2373" spans="1:4">
      <c r="A2373" s="12">
        <v>45835</v>
      </c>
      <c r="B2373" s="3">
        <v>96</v>
      </c>
      <c r="C2373" s="3">
        <v>96</v>
      </c>
      <c r="D2373" s="3">
        <f>C2373-B2373</f>
        <v>0</v>
      </c>
    </row>
    <row r="2374" spans="1:4">
      <c r="A2374" s="12">
        <v>45836</v>
      </c>
      <c r="B2374" s="3">
        <v>96</v>
      </c>
      <c r="C2374" s="3">
        <v>96</v>
      </c>
      <c r="D2374" s="3">
        <f>C2374-B2374</f>
        <v>0</v>
      </c>
    </row>
    <row r="2375" spans="1:4">
      <c r="A2375" s="12">
        <v>45837</v>
      </c>
      <c r="B2375" s="3">
        <v>96</v>
      </c>
      <c r="C2375" s="3">
        <v>96</v>
      </c>
      <c r="D2375" s="3">
        <f>C2375-B2375</f>
        <v>0</v>
      </c>
    </row>
    <row r="2376" spans="1:4">
      <c r="A2376" s="12">
        <v>45838</v>
      </c>
      <c r="B2376" s="3">
        <v>96</v>
      </c>
      <c r="C2376" s="3">
        <v>96</v>
      </c>
      <c r="D2376" s="3">
        <f>C2376-B2376</f>
        <v>0</v>
      </c>
    </row>
    <row r="2377" spans="1:4">
      <c r="A2377" s="12">
        <v>45839</v>
      </c>
      <c r="B2377" s="3">
        <v>96</v>
      </c>
      <c r="C2377" s="3">
        <v>96</v>
      </c>
      <c r="D2377" s="3">
        <f>C2377-B2377</f>
        <v>0</v>
      </c>
    </row>
    <row r="2378" spans="1:4">
      <c r="A2378" s="12">
        <v>45840</v>
      </c>
      <c r="B2378" s="3">
        <v>96</v>
      </c>
      <c r="C2378" s="3">
        <v>96</v>
      </c>
      <c r="D2378" s="3">
        <f>C2378-B2378</f>
        <v>0</v>
      </c>
    </row>
    <row r="2379" spans="1:4">
      <c r="A2379" s="12">
        <v>45841</v>
      </c>
      <c r="B2379" s="3">
        <v>96</v>
      </c>
      <c r="C2379" s="3">
        <v>96</v>
      </c>
      <c r="D2379" s="3">
        <f>C2379-B2379</f>
        <v>0</v>
      </c>
    </row>
    <row r="2380" spans="1:4">
      <c r="A2380" s="12">
        <v>45842</v>
      </c>
      <c r="B2380" s="3">
        <v>96</v>
      </c>
      <c r="C2380" s="3">
        <v>96</v>
      </c>
      <c r="D2380" s="3">
        <f>C2380-B2380</f>
        <v>0</v>
      </c>
    </row>
    <row r="2381" spans="1:4">
      <c r="A2381" s="12">
        <v>45843</v>
      </c>
      <c r="B2381" s="3">
        <v>96</v>
      </c>
      <c r="C2381" s="3">
        <v>96</v>
      </c>
      <c r="D2381" s="3">
        <f>C2381-B2381</f>
        <v>0</v>
      </c>
    </row>
    <row r="2382" spans="1:4">
      <c r="A2382" s="12">
        <v>45844</v>
      </c>
      <c r="B2382" s="3">
        <v>96</v>
      </c>
      <c r="C2382" s="3">
        <v>96</v>
      </c>
      <c r="D2382" s="3">
        <f>C2382-B2382</f>
        <v>0</v>
      </c>
    </row>
    <row r="2383" spans="1:4">
      <c r="A2383" s="12">
        <v>45845</v>
      </c>
      <c r="B2383" s="3">
        <v>96</v>
      </c>
      <c r="C2383" s="3">
        <v>96</v>
      </c>
      <c r="D2383" s="3">
        <f>C2383-B2383</f>
        <v>0</v>
      </c>
    </row>
    <row r="2384" spans="1:4">
      <c r="A2384" s="12">
        <v>45846</v>
      </c>
      <c r="B2384" s="3">
        <v>96</v>
      </c>
      <c r="C2384" s="3">
        <v>96</v>
      </c>
      <c r="D2384" s="3">
        <f>C2384-B2384</f>
        <v>0</v>
      </c>
    </row>
    <row r="2385" spans="1:4">
      <c r="A2385" s="12">
        <v>45847</v>
      </c>
      <c r="B2385" s="3">
        <v>96</v>
      </c>
      <c r="C2385" s="3">
        <v>96</v>
      </c>
      <c r="D2385" s="3">
        <f>C2385-B2385</f>
        <v>0</v>
      </c>
    </row>
    <row r="2386" spans="1:4">
      <c r="A2386" s="12">
        <v>45848</v>
      </c>
      <c r="B2386" s="3">
        <v>96</v>
      </c>
      <c r="C2386" s="3">
        <v>96</v>
      </c>
      <c r="D2386" s="3">
        <f>C2386-B2386</f>
        <v>0</v>
      </c>
    </row>
    <row r="2387" spans="1:4">
      <c r="A2387" s="12">
        <v>45849</v>
      </c>
      <c r="B2387" s="3">
        <v>96</v>
      </c>
      <c r="C2387" s="3">
        <v>96</v>
      </c>
      <c r="D2387" s="3">
        <f>C2387-B2387</f>
        <v>0</v>
      </c>
    </row>
    <row r="2388" spans="1:4">
      <c r="A2388" s="12">
        <v>45850</v>
      </c>
      <c r="B2388" s="3">
        <v>96</v>
      </c>
      <c r="C2388" s="3">
        <v>96</v>
      </c>
      <c r="D2388" s="3">
        <f>C2388-B2388</f>
        <v>0</v>
      </c>
    </row>
    <row r="2389" spans="1:4">
      <c r="A2389" s="12">
        <v>45851</v>
      </c>
      <c r="B2389" s="3">
        <v>96</v>
      </c>
      <c r="C2389" s="3">
        <v>96</v>
      </c>
      <c r="D2389" s="3">
        <f>C2389-B2389</f>
        <v>0</v>
      </c>
    </row>
    <row r="2390" spans="1:4">
      <c r="A2390" s="12">
        <v>45852</v>
      </c>
      <c r="B2390" s="3">
        <v>96</v>
      </c>
      <c r="C2390" s="3">
        <v>96</v>
      </c>
      <c r="D2390" s="3">
        <f>C2390-B2390</f>
        <v>0</v>
      </c>
    </row>
    <row r="2391" spans="1:4">
      <c r="A2391" s="12">
        <v>45853</v>
      </c>
      <c r="B2391" s="3">
        <v>96</v>
      </c>
      <c r="C2391" s="3">
        <v>96</v>
      </c>
      <c r="D2391" s="3">
        <f>C2391-B2391</f>
        <v>0</v>
      </c>
    </row>
    <row r="2392" spans="1:4">
      <c r="A2392" s="12">
        <v>45854</v>
      </c>
      <c r="B2392" s="3">
        <v>96</v>
      </c>
      <c r="C2392" s="3">
        <v>96</v>
      </c>
      <c r="D2392" s="3">
        <f>C2392-B2392</f>
        <v>0</v>
      </c>
    </row>
    <row r="2393" spans="1:4">
      <c r="A2393" s="12">
        <v>45855</v>
      </c>
      <c r="B2393" s="3">
        <v>96</v>
      </c>
      <c r="C2393" s="3">
        <v>96</v>
      </c>
      <c r="D2393" s="3">
        <f>C2393-B2393</f>
        <v>0</v>
      </c>
    </row>
    <row r="2394" spans="1:4">
      <c r="A2394" s="12">
        <v>45856</v>
      </c>
      <c r="B2394" s="3">
        <v>96</v>
      </c>
      <c r="C2394" s="3">
        <v>96</v>
      </c>
      <c r="D2394" s="3">
        <f>C2394-B2394</f>
        <v>0</v>
      </c>
    </row>
    <row r="2395" spans="1:4">
      <c r="A2395" s="12">
        <v>45857</v>
      </c>
      <c r="B2395" s="3">
        <v>96</v>
      </c>
      <c r="C2395" s="3">
        <v>96</v>
      </c>
      <c r="D2395" s="3">
        <f>C2395-B2395</f>
        <v>0</v>
      </c>
    </row>
    <row r="2396" spans="1:4">
      <c r="A2396" s="12">
        <v>45858</v>
      </c>
      <c r="B2396" s="3">
        <v>96</v>
      </c>
      <c r="C2396" s="3">
        <v>96</v>
      </c>
      <c r="D2396" s="3">
        <f>C2396-B2396</f>
        <v>0</v>
      </c>
    </row>
    <row r="2397" spans="1:4">
      <c r="A2397" s="12">
        <v>45859</v>
      </c>
      <c r="B2397" s="3">
        <v>96</v>
      </c>
      <c r="C2397" s="3">
        <v>96</v>
      </c>
      <c r="D2397" s="3">
        <f>C2397-B2397</f>
        <v>0</v>
      </c>
    </row>
    <row r="2398" spans="1:4">
      <c r="A2398" s="12">
        <v>45860</v>
      </c>
      <c r="B2398" s="3">
        <v>96</v>
      </c>
      <c r="C2398" s="3">
        <v>96</v>
      </c>
      <c r="D2398" s="3">
        <f>C2398-B2398</f>
        <v>0</v>
      </c>
    </row>
    <row r="2399" spans="1:4">
      <c r="A2399" s="12">
        <v>45861</v>
      </c>
      <c r="B2399" s="3">
        <v>96</v>
      </c>
      <c r="C2399" s="3">
        <v>96</v>
      </c>
      <c r="D2399" s="3">
        <f>C2399-B2399</f>
        <v>0</v>
      </c>
    </row>
    <row r="2400" spans="1:4">
      <c r="A2400" s="12">
        <v>45862</v>
      </c>
      <c r="B2400" s="3">
        <v>96</v>
      </c>
      <c r="C2400" s="3">
        <v>96</v>
      </c>
      <c r="D2400" s="3">
        <f>C2400-B2400</f>
        <v>0</v>
      </c>
    </row>
    <row r="2401" spans="1:4">
      <c r="A2401" s="12">
        <v>45863</v>
      </c>
      <c r="B2401" s="3">
        <v>96</v>
      </c>
      <c r="C2401" s="3">
        <v>96</v>
      </c>
      <c r="D2401" s="3">
        <f>C2401-B2401</f>
        <v>0</v>
      </c>
    </row>
    <row r="2402" spans="1:4">
      <c r="A2402" s="12">
        <v>45864</v>
      </c>
      <c r="B2402" s="3">
        <v>96</v>
      </c>
      <c r="C2402" s="3">
        <v>96</v>
      </c>
      <c r="D2402" s="3">
        <f>C2402-B2402</f>
        <v>0</v>
      </c>
    </row>
    <row r="2403" spans="1:4">
      <c r="A2403" s="12">
        <v>45865</v>
      </c>
      <c r="B2403" s="3">
        <v>96</v>
      </c>
      <c r="C2403" s="3">
        <v>96</v>
      </c>
      <c r="D2403" s="3">
        <f>C2403-B2403</f>
        <v>0</v>
      </c>
    </row>
    <row r="2404" spans="1:4">
      <c r="A2404" s="12">
        <v>45866</v>
      </c>
      <c r="B2404" s="3">
        <v>96</v>
      </c>
      <c r="C2404" s="3">
        <v>96</v>
      </c>
      <c r="D2404" s="3">
        <f>C2404-B2404</f>
        <v>0</v>
      </c>
    </row>
    <row r="2405" spans="1:4">
      <c r="A2405" s="12">
        <v>45867</v>
      </c>
      <c r="B2405" s="3">
        <v>96</v>
      </c>
      <c r="C2405" s="3">
        <v>96</v>
      </c>
      <c r="D2405" s="3">
        <f>C2405-B2405</f>
        <v>0</v>
      </c>
    </row>
    <row r="2406" spans="1:4">
      <c r="A2406" s="12">
        <v>45868</v>
      </c>
      <c r="B2406" s="3">
        <v>96</v>
      </c>
      <c r="C2406" s="3">
        <v>96</v>
      </c>
      <c r="D2406" s="3">
        <f>C2406-B2406</f>
        <v>0</v>
      </c>
    </row>
    <row r="2407" spans="1:4">
      <c r="A2407" s="12">
        <v>45869</v>
      </c>
      <c r="B2407" s="3">
        <v>96</v>
      </c>
      <c r="C2407" s="3">
        <v>96</v>
      </c>
      <c r="D2407" s="3">
        <f>C2407-B2407</f>
        <v>0</v>
      </c>
    </row>
    <row r="2408" spans="1:4">
      <c r="A2408" s="12">
        <v>45870</v>
      </c>
      <c r="B2408" s="3">
        <v>96</v>
      </c>
      <c r="C2408" s="3">
        <v>96</v>
      </c>
      <c r="D2408" s="3">
        <f>C2408-B2408</f>
        <v>0</v>
      </c>
    </row>
    <row r="2409" spans="1:4">
      <c r="A2409" s="12">
        <v>45871</v>
      </c>
      <c r="B2409" s="3">
        <v>96</v>
      </c>
      <c r="C2409" s="3">
        <v>96</v>
      </c>
      <c r="D2409" s="3">
        <f>C2409-B2409</f>
        <v>0</v>
      </c>
    </row>
    <row r="2410" spans="1:4">
      <c r="A2410" s="12">
        <v>45872</v>
      </c>
      <c r="B2410" s="3">
        <v>96</v>
      </c>
      <c r="C2410" s="3">
        <v>96</v>
      </c>
      <c r="D2410" s="3">
        <f>C2410-B2410</f>
        <v>0</v>
      </c>
    </row>
    <row r="2411" spans="1:4">
      <c r="A2411" s="12">
        <v>45873</v>
      </c>
      <c r="B2411" s="3">
        <v>96</v>
      </c>
      <c r="C2411" s="3">
        <v>96</v>
      </c>
      <c r="D2411" s="3">
        <f>C2411-B2411</f>
        <v>0</v>
      </c>
    </row>
    <row r="2412" spans="1:4">
      <c r="A2412" s="12">
        <v>45874</v>
      </c>
      <c r="B2412" s="3">
        <v>96</v>
      </c>
      <c r="C2412" s="3">
        <v>96</v>
      </c>
      <c r="D2412" s="3">
        <f>C2412-B2412</f>
        <v>0</v>
      </c>
    </row>
    <row r="2413" spans="1:4">
      <c r="A2413" s="12">
        <v>45875</v>
      </c>
      <c r="B2413" s="3">
        <v>96</v>
      </c>
      <c r="C2413" s="3">
        <v>96</v>
      </c>
      <c r="D2413" s="3">
        <f>C2413-B2413</f>
        <v>0</v>
      </c>
    </row>
    <row r="2414" spans="1:4">
      <c r="A2414" s="12">
        <v>45876</v>
      </c>
      <c r="B2414" s="3">
        <v>96</v>
      </c>
      <c r="C2414" s="3">
        <v>96</v>
      </c>
      <c r="D2414" s="3">
        <f>C2414-B2414</f>
        <v>0</v>
      </c>
    </row>
    <row r="2415" spans="1:4">
      <c r="A2415" s="12">
        <v>45877</v>
      </c>
      <c r="B2415" s="3">
        <v>96</v>
      </c>
      <c r="C2415" s="3">
        <v>96</v>
      </c>
      <c r="D2415" s="3">
        <f>C2415-B2415</f>
        <v>0</v>
      </c>
    </row>
    <row r="2416" spans="1:4">
      <c r="A2416" s="12">
        <v>45878</v>
      </c>
      <c r="B2416" s="3">
        <v>96</v>
      </c>
      <c r="C2416" s="3">
        <v>96</v>
      </c>
      <c r="D2416" s="3">
        <f>C2416-B2416</f>
        <v>0</v>
      </c>
    </row>
    <row r="2417" spans="1:4">
      <c r="A2417" s="12">
        <v>45879</v>
      </c>
      <c r="B2417" s="3">
        <v>96</v>
      </c>
      <c r="C2417" s="3">
        <v>96</v>
      </c>
      <c r="D2417" s="3">
        <f>C2417-B2417</f>
        <v>0</v>
      </c>
    </row>
    <row r="2418" spans="1:4">
      <c r="A2418" s="12">
        <v>45880</v>
      </c>
      <c r="B2418" s="3">
        <v>96</v>
      </c>
      <c r="C2418" s="3">
        <v>96</v>
      </c>
      <c r="D2418" s="3">
        <f>C2418-B2418</f>
        <v>0</v>
      </c>
    </row>
    <row r="2419" spans="1:4">
      <c r="A2419" s="12">
        <v>45881</v>
      </c>
      <c r="B2419" s="3">
        <v>96</v>
      </c>
      <c r="C2419" s="3">
        <v>96</v>
      </c>
      <c r="D2419" s="3">
        <f>C2419-B2419</f>
        <v>0</v>
      </c>
    </row>
    <row r="2420" spans="1:4">
      <c r="A2420" s="12">
        <v>45882</v>
      </c>
      <c r="B2420" s="3">
        <v>96</v>
      </c>
      <c r="C2420" s="3">
        <v>96</v>
      </c>
      <c r="D2420" s="3">
        <f>C2420-B2420</f>
        <v>0</v>
      </c>
    </row>
    <row r="2421" spans="1:4">
      <c r="A2421" s="12">
        <v>45883</v>
      </c>
      <c r="B2421" s="3">
        <v>96</v>
      </c>
      <c r="C2421" s="3">
        <v>96</v>
      </c>
      <c r="D2421" s="3">
        <f>C2421-B2421</f>
        <v>0</v>
      </c>
    </row>
    <row r="2422" spans="1:4">
      <c r="A2422" s="12">
        <v>45884</v>
      </c>
      <c r="B2422" s="3">
        <v>96</v>
      </c>
      <c r="C2422" s="3">
        <v>96</v>
      </c>
      <c r="D2422" s="3">
        <f>C2422-B2422</f>
        <v>0</v>
      </c>
    </row>
    <row r="2423" spans="1:4">
      <c r="A2423" s="12">
        <v>45885</v>
      </c>
      <c r="B2423" s="3">
        <v>96</v>
      </c>
      <c r="C2423" s="3">
        <v>96</v>
      </c>
      <c r="D2423" s="3">
        <f>C2423-B2423</f>
        <v>0</v>
      </c>
    </row>
    <row r="2424" spans="1:4">
      <c r="A2424" s="12">
        <v>45886</v>
      </c>
      <c r="B2424" s="3">
        <v>96</v>
      </c>
      <c r="C2424" s="3">
        <v>96</v>
      </c>
      <c r="D2424" s="3">
        <f>C2424-B2424</f>
        <v>0</v>
      </c>
    </row>
    <row r="2425" spans="1:4">
      <c r="A2425" s="12">
        <v>45887</v>
      </c>
      <c r="B2425" s="3">
        <v>96</v>
      </c>
      <c r="C2425" s="3">
        <v>96</v>
      </c>
      <c r="D2425" s="3">
        <f>C2425-B2425</f>
        <v>0</v>
      </c>
    </row>
    <row r="2426" spans="1:4">
      <c r="A2426" s="12">
        <v>45888</v>
      </c>
      <c r="B2426" s="3">
        <v>96</v>
      </c>
      <c r="C2426" s="3">
        <v>96</v>
      </c>
      <c r="D2426" s="3">
        <f>C2426-B2426</f>
        <v>0</v>
      </c>
    </row>
    <row r="2427" spans="1:4">
      <c r="A2427" s="12">
        <v>45889</v>
      </c>
      <c r="B2427" s="3">
        <v>96</v>
      </c>
      <c r="C2427" s="3">
        <v>96</v>
      </c>
      <c r="D2427" s="3">
        <f>C2427-B2427</f>
        <v>0</v>
      </c>
    </row>
    <row r="2428" spans="1:4">
      <c r="A2428" s="12">
        <v>45890</v>
      </c>
      <c r="B2428" s="3">
        <v>96</v>
      </c>
      <c r="C2428" s="3">
        <v>96</v>
      </c>
      <c r="D2428" s="3">
        <f>C2428-B2428</f>
        <v>0</v>
      </c>
    </row>
    <row r="2429" spans="1:4">
      <c r="A2429" s="12">
        <v>45891</v>
      </c>
      <c r="B2429" s="3">
        <v>96</v>
      </c>
      <c r="C2429" s="3">
        <v>96</v>
      </c>
      <c r="D2429" s="3">
        <f>C2429-B2429</f>
        <v>0</v>
      </c>
    </row>
    <row r="2430" spans="1:4">
      <c r="A2430" s="12">
        <v>45892</v>
      </c>
      <c r="B2430" s="3">
        <v>96</v>
      </c>
      <c r="C2430" s="3">
        <v>96</v>
      </c>
      <c r="D2430" s="3">
        <f>C2430-B2430</f>
        <v>0</v>
      </c>
    </row>
    <row r="2431" spans="1:4">
      <c r="A2431" s="12">
        <v>45893</v>
      </c>
      <c r="B2431" s="3">
        <v>96</v>
      </c>
      <c r="C2431" s="3">
        <v>96</v>
      </c>
      <c r="D2431" s="3">
        <f>C2431-B2431</f>
        <v>0</v>
      </c>
    </row>
    <row r="2432" spans="1:4">
      <c r="A2432" s="12">
        <v>45894</v>
      </c>
      <c r="B2432" s="3">
        <v>96</v>
      </c>
      <c r="C2432" s="3">
        <v>96</v>
      </c>
      <c r="D2432" s="3">
        <f>C2432-B2432</f>
        <v>0</v>
      </c>
    </row>
    <row r="2433" spans="1:4">
      <c r="A2433" s="12">
        <v>45895</v>
      </c>
      <c r="B2433" s="3">
        <v>96</v>
      </c>
      <c r="C2433" s="3">
        <v>96</v>
      </c>
      <c r="D2433" s="3">
        <f>C2433-B2433</f>
        <v>0</v>
      </c>
    </row>
    <row r="2434" spans="1:4">
      <c r="A2434" s="12">
        <v>45896</v>
      </c>
      <c r="B2434" s="3">
        <v>96</v>
      </c>
      <c r="C2434" s="3">
        <v>96</v>
      </c>
      <c r="D2434" s="3">
        <f>C2434-B2434</f>
        <v>0</v>
      </c>
    </row>
    <row r="2435" spans="1:4">
      <c r="A2435" s="12">
        <v>45897</v>
      </c>
      <c r="B2435" s="3">
        <v>96</v>
      </c>
      <c r="C2435" s="3">
        <v>96</v>
      </c>
      <c r="D2435" s="3">
        <f>C2435-B2435</f>
        <v>0</v>
      </c>
    </row>
    <row r="2436" spans="1:4">
      <c r="A2436" s="12">
        <v>45898</v>
      </c>
      <c r="B2436" s="3">
        <v>96</v>
      </c>
      <c r="C2436" s="3">
        <v>96</v>
      </c>
      <c r="D2436" s="3">
        <f>C2436-B2436</f>
        <v>0</v>
      </c>
    </row>
    <row r="2437" spans="1:4">
      <c r="A2437" s="12">
        <v>45899</v>
      </c>
      <c r="B2437" s="3">
        <v>96</v>
      </c>
      <c r="C2437" s="3">
        <v>96</v>
      </c>
      <c r="D2437" s="3">
        <f>C2437-B2437</f>
        <v>0</v>
      </c>
    </row>
    <row r="2438" spans="1:4">
      <c r="A2438" s="12">
        <v>45900</v>
      </c>
      <c r="B2438" s="3">
        <v>96</v>
      </c>
      <c r="C2438" s="3">
        <v>96</v>
      </c>
      <c r="D2438" s="3">
        <f>C2438-B2438</f>
        <v>0</v>
      </c>
    </row>
    <row r="2439" spans="1:4">
      <c r="A2439" s="12">
        <v>45901</v>
      </c>
      <c r="B2439" s="3">
        <v>96</v>
      </c>
      <c r="C2439" s="3">
        <v>96</v>
      </c>
      <c r="D2439" s="3">
        <f>C2439-B2439</f>
        <v>0</v>
      </c>
    </row>
    <row r="2440" spans="1:4">
      <c r="A2440" s="12">
        <v>45902</v>
      </c>
      <c r="B2440" s="3">
        <v>96</v>
      </c>
      <c r="C2440" s="3">
        <v>96</v>
      </c>
      <c r="D2440" s="3">
        <f>C2440-B2440</f>
        <v>0</v>
      </c>
    </row>
    <row r="2441" spans="1:4">
      <c r="A2441" s="12">
        <v>45903</v>
      </c>
      <c r="B2441" s="3">
        <v>96</v>
      </c>
      <c r="C2441" s="3">
        <v>96</v>
      </c>
      <c r="D2441" s="3">
        <f>C2441-B2441</f>
        <v>0</v>
      </c>
    </row>
    <row r="2442" spans="1:4">
      <c r="A2442" s="12">
        <v>45904</v>
      </c>
      <c r="B2442" s="3">
        <v>96</v>
      </c>
      <c r="C2442" s="3">
        <v>96</v>
      </c>
      <c r="D2442" s="3">
        <f>C2442-B2442</f>
        <v>0</v>
      </c>
    </row>
    <row r="2443" spans="1:4">
      <c r="A2443" s="12">
        <v>45905</v>
      </c>
      <c r="B2443" s="3">
        <v>96</v>
      </c>
      <c r="C2443" s="3">
        <v>96</v>
      </c>
      <c r="D2443" s="3">
        <f>C2443-B2443</f>
        <v>0</v>
      </c>
    </row>
    <row r="2444" spans="1:4">
      <c r="A2444" s="12">
        <v>45906</v>
      </c>
      <c r="B2444" s="3">
        <v>96</v>
      </c>
      <c r="C2444" s="3">
        <v>96</v>
      </c>
      <c r="D2444" s="3">
        <f>C2444-B2444</f>
        <v>0</v>
      </c>
    </row>
    <row r="2445" spans="1:4">
      <c r="A2445" s="12">
        <v>45907</v>
      </c>
      <c r="B2445" s="3">
        <v>96</v>
      </c>
      <c r="C2445" s="3">
        <v>96</v>
      </c>
      <c r="D2445" s="3">
        <f>C2445-B2445</f>
        <v>0</v>
      </c>
    </row>
    <row r="2446" spans="1:4">
      <c r="A2446" s="12">
        <v>45908</v>
      </c>
      <c r="B2446" s="3">
        <v>96</v>
      </c>
      <c r="C2446" s="3">
        <v>96</v>
      </c>
      <c r="D2446" s="3">
        <f>C2446-B2446</f>
        <v>0</v>
      </c>
    </row>
    <row r="2447" spans="1:4">
      <c r="A2447" s="12">
        <v>45909</v>
      </c>
      <c r="B2447" s="3">
        <v>96</v>
      </c>
      <c r="C2447" s="3">
        <v>96</v>
      </c>
      <c r="D2447" s="3">
        <f>C2447-B2447</f>
        <v>0</v>
      </c>
    </row>
    <row r="2448" spans="1:4">
      <c r="A2448" s="12">
        <v>45910</v>
      </c>
      <c r="B2448" s="3">
        <v>96</v>
      </c>
      <c r="C2448" s="3">
        <v>96</v>
      </c>
      <c r="D2448" s="3">
        <f>C2448-B2448</f>
        <v>0</v>
      </c>
    </row>
    <row r="2449" spans="1:4">
      <c r="A2449" s="12">
        <v>45911</v>
      </c>
      <c r="B2449" s="3">
        <v>96</v>
      </c>
      <c r="C2449" s="3">
        <v>96</v>
      </c>
      <c r="D2449" s="3">
        <f>C2449-B2449</f>
        <v>0</v>
      </c>
    </row>
    <row r="2450" spans="1:4">
      <c r="A2450" s="12">
        <v>45912</v>
      </c>
      <c r="B2450" s="3">
        <v>96</v>
      </c>
      <c r="C2450" s="3">
        <v>96</v>
      </c>
      <c r="D2450" s="3">
        <f>C2450-B2450</f>
        <v>0</v>
      </c>
    </row>
    <row r="2451" spans="1:4">
      <c r="A2451" s="12">
        <v>45913</v>
      </c>
      <c r="B2451" s="3">
        <v>96</v>
      </c>
      <c r="C2451" s="3">
        <v>96</v>
      </c>
      <c r="D2451" s="3">
        <f>C2451-B2451</f>
        <v>0</v>
      </c>
    </row>
    <row r="2452" spans="1:4">
      <c r="A2452" s="12">
        <v>45914</v>
      </c>
      <c r="B2452" s="3">
        <v>96</v>
      </c>
      <c r="C2452" s="3">
        <v>96</v>
      </c>
      <c r="D2452" s="3">
        <f>C2452-B2452</f>
        <v>0</v>
      </c>
    </row>
    <row r="2453" spans="1:4">
      <c r="A2453" s="12">
        <v>45915</v>
      </c>
      <c r="B2453" s="3">
        <v>96</v>
      </c>
      <c r="C2453" s="3">
        <v>96</v>
      </c>
      <c r="D2453" s="3">
        <f>C2453-B2453</f>
        <v>0</v>
      </c>
    </row>
    <row r="2454" spans="1:4">
      <c r="A2454" s="12">
        <v>45916</v>
      </c>
      <c r="B2454" s="3">
        <v>96</v>
      </c>
      <c r="C2454" s="3">
        <v>96</v>
      </c>
      <c r="D2454" s="3">
        <f>C2454-B2454</f>
        <v>0</v>
      </c>
    </row>
    <row r="2455" spans="1:4">
      <c r="A2455" s="12">
        <v>45917</v>
      </c>
      <c r="B2455" s="3">
        <v>96</v>
      </c>
      <c r="C2455" s="3">
        <v>96</v>
      </c>
      <c r="D2455" s="3">
        <f>C2455-B2455</f>
        <v>0</v>
      </c>
    </row>
    <row r="2456" spans="1:4">
      <c r="A2456" s="12">
        <v>45918</v>
      </c>
      <c r="B2456" s="3">
        <v>96</v>
      </c>
      <c r="C2456" s="3">
        <v>96</v>
      </c>
      <c r="D2456" s="3">
        <f>C2456-B2456</f>
        <v>0</v>
      </c>
    </row>
    <row r="2457" spans="1:4">
      <c r="A2457" s="12">
        <v>45919</v>
      </c>
      <c r="B2457" s="3">
        <v>96</v>
      </c>
      <c r="C2457" s="3">
        <v>96</v>
      </c>
      <c r="D2457" s="3">
        <f>C2457-B2457</f>
        <v>0</v>
      </c>
    </row>
    <row r="2458" spans="1:4">
      <c r="A2458" s="12">
        <v>45920</v>
      </c>
      <c r="B2458" s="3">
        <v>96</v>
      </c>
      <c r="C2458" s="3">
        <v>96</v>
      </c>
      <c r="D2458" s="3">
        <f>C2458-B2458</f>
        <v>0</v>
      </c>
    </row>
    <row r="2459" spans="1:4">
      <c r="A2459" s="12">
        <v>45921</v>
      </c>
      <c r="B2459" s="3">
        <v>96</v>
      </c>
      <c r="C2459" s="3">
        <v>96</v>
      </c>
      <c r="D2459" s="3">
        <f>C2459-B2459</f>
        <v>0</v>
      </c>
    </row>
    <row r="2460" spans="1:4">
      <c r="A2460" s="12">
        <v>45922</v>
      </c>
      <c r="B2460" s="3">
        <v>96</v>
      </c>
      <c r="C2460" s="3">
        <v>96</v>
      </c>
      <c r="D2460" s="3">
        <f>C2460-B2460</f>
        <v>0</v>
      </c>
    </row>
    <row r="2461" spans="1:4">
      <c r="A2461" s="12">
        <v>45923</v>
      </c>
      <c r="B2461" s="3">
        <v>96</v>
      </c>
      <c r="C2461" s="3">
        <v>96</v>
      </c>
      <c r="D2461" s="3">
        <f>C2461-B2461</f>
        <v>0</v>
      </c>
    </row>
    <row r="2462" spans="1:4">
      <c r="A2462" s="12">
        <v>45924</v>
      </c>
      <c r="B2462" s="3">
        <v>96</v>
      </c>
      <c r="C2462" s="3">
        <v>96</v>
      </c>
      <c r="D2462" s="3">
        <f>C2462-B2462</f>
        <v>0</v>
      </c>
    </row>
    <row r="2463" spans="1:4">
      <c r="A2463" s="12">
        <v>45925</v>
      </c>
      <c r="B2463" s="3">
        <v>96</v>
      </c>
      <c r="C2463" s="3">
        <v>96</v>
      </c>
      <c r="D2463" s="3">
        <f>C2463-B2463</f>
        <v>0</v>
      </c>
    </row>
    <row r="2464" spans="1:4">
      <c r="A2464" s="12">
        <v>45926</v>
      </c>
      <c r="B2464" s="3">
        <v>96</v>
      </c>
      <c r="C2464" s="3">
        <v>96</v>
      </c>
      <c r="D2464" s="3">
        <f>C2464-B2464</f>
        <v>0</v>
      </c>
    </row>
    <row r="2465" spans="1:4">
      <c r="A2465" s="12">
        <v>45927</v>
      </c>
      <c r="B2465" s="3">
        <v>96</v>
      </c>
      <c r="C2465" s="3">
        <v>96</v>
      </c>
      <c r="D2465" s="3">
        <f>C2465-B2465</f>
        <v>0</v>
      </c>
    </row>
    <row r="2466" spans="1:4">
      <c r="A2466" s="12">
        <v>45928</v>
      </c>
      <c r="B2466" s="3">
        <v>96</v>
      </c>
      <c r="C2466" s="3">
        <v>96</v>
      </c>
      <c r="D2466" s="3">
        <f>C2466-B2466</f>
        <v>0</v>
      </c>
    </row>
    <row r="2467" spans="1:4">
      <c r="A2467" s="12">
        <v>45929</v>
      </c>
      <c r="B2467" s="3">
        <v>96</v>
      </c>
      <c r="C2467" s="3">
        <v>96</v>
      </c>
      <c r="D2467" s="3">
        <f>C2467-B2467</f>
        <v>0</v>
      </c>
    </row>
    <row r="2468" spans="1:4">
      <c r="A2468" s="12">
        <v>45930</v>
      </c>
      <c r="B2468" s="3">
        <v>96</v>
      </c>
      <c r="C2468" s="3">
        <v>96</v>
      </c>
      <c r="D2468" s="3">
        <f>C2468-B2468</f>
        <v>0</v>
      </c>
    </row>
    <row r="2469" spans="1:4">
      <c r="A2469" s="12">
        <v>45931</v>
      </c>
      <c r="B2469" s="3">
        <v>96</v>
      </c>
      <c r="C2469" s="3">
        <v>96</v>
      </c>
      <c r="D2469" s="3">
        <f>C2469-B2469</f>
        <v>0</v>
      </c>
    </row>
    <row r="2470" spans="1:4">
      <c r="A2470" s="12">
        <v>45932</v>
      </c>
      <c r="B2470" s="3">
        <v>96</v>
      </c>
      <c r="C2470" s="3">
        <v>96</v>
      </c>
      <c r="D2470" s="3">
        <f>C2470-B2470</f>
        <v>0</v>
      </c>
    </row>
    <row r="2471" spans="1:4">
      <c r="A2471" s="12">
        <v>45933</v>
      </c>
      <c r="B2471" s="3">
        <v>96</v>
      </c>
      <c r="C2471" s="3">
        <v>96</v>
      </c>
      <c r="D2471" s="3">
        <f>C2471-B2471</f>
        <v>0</v>
      </c>
    </row>
    <row r="2472" spans="1:4">
      <c r="A2472" s="12">
        <v>45934</v>
      </c>
      <c r="B2472" s="3">
        <v>96</v>
      </c>
      <c r="C2472" s="3">
        <v>96</v>
      </c>
      <c r="D2472" s="3">
        <f>C2472-B2472</f>
        <v>0</v>
      </c>
    </row>
    <row r="2473" spans="1:4">
      <c r="A2473" s="12">
        <v>45935</v>
      </c>
      <c r="B2473" s="3">
        <v>96</v>
      </c>
      <c r="C2473" s="3">
        <v>96</v>
      </c>
      <c r="D2473" s="3">
        <f>C2473-B2473</f>
        <v>0</v>
      </c>
    </row>
    <row r="2474" spans="1:4">
      <c r="A2474" s="12">
        <v>45936</v>
      </c>
      <c r="B2474" s="3">
        <v>96</v>
      </c>
      <c r="C2474" s="3">
        <v>96</v>
      </c>
      <c r="D2474" s="3">
        <f>C2474-B2474</f>
        <v>0</v>
      </c>
    </row>
    <row r="2475" spans="1:4">
      <c r="A2475" s="12">
        <v>45937</v>
      </c>
      <c r="B2475" s="3">
        <v>96</v>
      </c>
      <c r="C2475" s="3">
        <v>96</v>
      </c>
      <c r="D2475" s="3">
        <f>C2475-B2475</f>
        <v>0</v>
      </c>
    </row>
    <row r="2476" spans="1:4">
      <c r="A2476" s="12">
        <v>45938</v>
      </c>
      <c r="B2476" s="3">
        <v>96</v>
      </c>
      <c r="C2476" s="3">
        <v>96</v>
      </c>
      <c r="D2476" s="3">
        <f>C2476-B2476</f>
        <v>0</v>
      </c>
    </row>
    <row r="2477" spans="1:4">
      <c r="A2477" s="12">
        <v>45939</v>
      </c>
      <c r="B2477" s="3">
        <v>96</v>
      </c>
      <c r="C2477" s="3">
        <v>96</v>
      </c>
      <c r="D2477" s="3">
        <f>C2477-B2477</f>
        <v>0</v>
      </c>
    </row>
    <row r="2478" spans="1:4">
      <c r="A2478" s="12">
        <v>45940</v>
      </c>
      <c r="B2478" s="3">
        <v>96</v>
      </c>
      <c r="C2478" s="3">
        <v>96</v>
      </c>
      <c r="D2478" s="3">
        <f>C2478-B2478</f>
        <v>0</v>
      </c>
    </row>
    <row r="2479" spans="1:4">
      <c r="A2479" s="12">
        <v>45941</v>
      </c>
      <c r="B2479" s="3">
        <v>96</v>
      </c>
      <c r="C2479" s="3">
        <v>96</v>
      </c>
      <c r="D2479" s="3">
        <f>C2479-B2479</f>
        <v>0</v>
      </c>
    </row>
    <row r="2480" spans="1:4">
      <c r="A2480" s="12">
        <v>45942</v>
      </c>
      <c r="B2480" s="3">
        <v>96</v>
      </c>
      <c r="C2480" s="3">
        <v>96</v>
      </c>
      <c r="D2480" s="3">
        <f>C2480-B2480</f>
        <v>0</v>
      </c>
    </row>
    <row r="2481" spans="1:4">
      <c r="A2481" s="12">
        <v>45943</v>
      </c>
      <c r="B2481" s="3">
        <v>96</v>
      </c>
      <c r="C2481" s="3">
        <v>96</v>
      </c>
      <c r="D2481" s="3">
        <f>C2481-B2481</f>
        <v>0</v>
      </c>
    </row>
    <row r="2482" spans="1:4">
      <c r="A2482" s="12">
        <v>45944</v>
      </c>
      <c r="B2482" s="3">
        <v>96</v>
      </c>
      <c r="C2482" s="3">
        <v>96</v>
      </c>
      <c r="D2482" s="3">
        <f>C2482-B2482</f>
        <v>0</v>
      </c>
    </row>
    <row r="2483" spans="1:4">
      <c r="A2483" s="12">
        <v>45945</v>
      </c>
      <c r="B2483" s="3">
        <v>96</v>
      </c>
      <c r="C2483" s="3">
        <v>96</v>
      </c>
      <c r="D2483" s="3">
        <f>C2483-B2483</f>
        <v>0</v>
      </c>
    </row>
    <row r="2484" spans="1:4">
      <c r="A2484" s="12">
        <v>45946</v>
      </c>
      <c r="B2484" s="3">
        <v>96</v>
      </c>
      <c r="C2484" s="3">
        <v>96</v>
      </c>
      <c r="D2484" s="3">
        <f>C2484-B2484</f>
        <v>0</v>
      </c>
    </row>
    <row r="2485" spans="1:4">
      <c r="A2485" s="12">
        <v>45947</v>
      </c>
      <c r="B2485" s="3">
        <v>96</v>
      </c>
      <c r="C2485" s="3">
        <v>96</v>
      </c>
      <c r="D2485" s="3">
        <f>C2485-B2485</f>
        <v>0</v>
      </c>
    </row>
    <row r="2486" spans="1:4">
      <c r="A2486" s="12">
        <v>45948</v>
      </c>
      <c r="B2486" s="3">
        <v>96</v>
      </c>
      <c r="C2486" s="3">
        <v>96</v>
      </c>
      <c r="D2486" s="3">
        <f>C2486-B2486</f>
        <v>0</v>
      </c>
    </row>
    <row r="2487" spans="1:4">
      <c r="A2487" s="12">
        <v>45949</v>
      </c>
      <c r="B2487" s="3">
        <v>96</v>
      </c>
      <c r="C2487" s="3">
        <v>96</v>
      </c>
      <c r="D2487" s="3">
        <f>C2487-B2487</f>
        <v>0</v>
      </c>
    </row>
    <row r="2488" spans="1:4">
      <c r="A2488" s="12">
        <v>45950</v>
      </c>
      <c r="B2488" s="3">
        <v>96</v>
      </c>
      <c r="C2488" s="3">
        <v>96</v>
      </c>
      <c r="D2488" s="3">
        <f>C2488-B2488</f>
        <v>0</v>
      </c>
    </row>
    <row r="2489" spans="1:4">
      <c r="A2489" s="12">
        <v>45951</v>
      </c>
      <c r="B2489" s="3">
        <v>96</v>
      </c>
      <c r="C2489" s="3">
        <v>96</v>
      </c>
      <c r="D2489" s="3">
        <f>C2489-B2489</f>
        <v>0</v>
      </c>
    </row>
    <row r="2490" spans="1:4">
      <c r="A2490" s="12">
        <v>45952</v>
      </c>
      <c r="B2490" s="3">
        <v>96</v>
      </c>
      <c r="C2490" s="3">
        <v>96</v>
      </c>
      <c r="D2490" s="3">
        <f>C2490-B2490</f>
        <v>0</v>
      </c>
    </row>
    <row r="2491" spans="1:4">
      <c r="A2491" s="12">
        <v>45953</v>
      </c>
      <c r="B2491" s="3">
        <v>96</v>
      </c>
      <c r="C2491" s="3">
        <v>96</v>
      </c>
      <c r="D2491" s="3">
        <f>C2491-B2491</f>
        <v>0</v>
      </c>
    </row>
    <row r="2492" spans="1:4">
      <c r="A2492" s="12">
        <v>45954</v>
      </c>
      <c r="B2492" s="3">
        <v>96</v>
      </c>
      <c r="C2492" s="3">
        <v>96</v>
      </c>
      <c r="D2492" s="3">
        <f>C2492-B2492</f>
        <v>0</v>
      </c>
    </row>
    <row r="2493" spans="1:4">
      <c r="A2493" s="12">
        <v>45955</v>
      </c>
      <c r="B2493" s="3">
        <v>96</v>
      </c>
      <c r="C2493" s="3">
        <v>96</v>
      </c>
      <c r="D2493" s="3">
        <f>C2493-B2493</f>
        <v>0</v>
      </c>
    </row>
    <row r="2494" spans="1:4">
      <c r="A2494" s="12">
        <v>45956</v>
      </c>
      <c r="B2494" s="3">
        <v>100</v>
      </c>
      <c r="C2494" s="3">
        <v>100</v>
      </c>
      <c r="D2494" s="3">
        <f>C2494-B2494</f>
        <v>0</v>
      </c>
    </row>
    <row r="2495" spans="1:4">
      <c r="A2495" s="12">
        <v>45957</v>
      </c>
      <c r="B2495" s="3">
        <v>96</v>
      </c>
      <c r="C2495" s="3">
        <v>96</v>
      </c>
      <c r="D2495" s="3">
        <f>C2495-B2495</f>
        <v>0</v>
      </c>
    </row>
    <row r="2496" spans="1:4">
      <c r="A2496" s="12">
        <v>45958</v>
      </c>
      <c r="B2496" s="3">
        <v>96</v>
      </c>
      <c r="C2496" s="3">
        <v>96</v>
      </c>
      <c r="D2496" s="3">
        <f>C2496-B2496</f>
        <v>0</v>
      </c>
    </row>
    <row r="2497" spans="1:4">
      <c r="A2497" s="12">
        <v>45959</v>
      </c>
      <c r="B2497" s="3">
        <v>96</v>
      </c>
      <c r="C2497" s="3">
        <v>96</v>
      </c>
      <c r="D2497" s="3">
        <f>C2497-B2497</f>
        <v>0</v>
      </c>
    </row>
    <row r="2498" spans="1:4">
      <c r="A2498" s="12">
        <v>45960</v>
      </c>
      <c r="B2498" s="3">
        <v>96</v>
      </c>
      <c r="C2498" s="3">
        <v>96</v>
      </c>
      <c r="D2498" s="3">
        <f>C2498-B2498</f>
        <v>0</v>
      </c>
    </row>
    <row r="2499" spans="1:4">
      <c r="A2499" s="12">
        <v>45961</v>
      </c>
      <c r="B2499" s="3">
        <v>96</v>
      </c>
      <c r="C2499" s="3">
        <v>96</v>
      </c>
      <c r="D2499" s="3">
        <f>C2499-B2499</f>
        <v>0</v>
      </c>
    </row>
    <row r="2500" spans="1:4">
      <c r="A2500" s="12">
        <v>45962</v>
      </c>
      <c r="B2500" s="3">
        <v>96</v>
      </c>
      <c r="C2500" s="3">
        <v>96</v>
      </c>
      <c r="D2500" s="3">
        <f>C2500-B2500</f>
        <v>0</v>
      </c>
    </row>
    <row r="2501" spans="1:4">
      <c r="A2501" s="12">
        <v>45963</v>
      </c>
      <c r="B2501" s="3">
        <v>96</v>
      </c>
      <c r="C2501" s="3">
        <v>96</v>
      </c>
      <c r="D2501" s="3">
        <f>C2501-B2501</f>
        <v>0</v>
      </c>
    </row>
    <row r="2502" spans="1:4">
      <c r="A2502" s="12">
        <v>45964</v>
      </c>
      <c r="B2502" s="3">
        <v>96</v>
      </c>
      <c r="C2502" s="3">
        <v>96</v>
      </c>
      <c r="D2502" s="3">
        <f>C2502-B2502</f>
        <v>0</v>
      </c>
    </row>
    <row r="2503" spans="1:4">
      <c r="A2503" s="12">
        <v>45965</v>
      </c>
      <c r="B2503" s="3">
        <v>96</v>
      </c>
      <c r="C2503" s="3">
        <v>96</v>
      </c>
      <c r="D2503" s="3">
        <f>C2503-B2503</f>
        <v>0</v>
      </c>
    </row>
    <row r="2504" spans="1:4">
      <c r="A2504" s="12">
        <v>45966</v>
      </c>
      <c r="B2504" s="3">
        <v>96</v>
      </c>
      <c r="C2504" s="3">
        <v>96</v>
      </c>
      <c r="D2504" s="3">
        <f>C2504-B2504</f>
        <v>0</v>
      </c>
    </row>
    <row r="2505" spans="1:4">
      <c r="A2505" s="12">
        <v>45967</v>
      </c>
      <c r="B2505" s="3">
        <v>96</v>
      </c>
      <c r="C2505" s="3">
        <v>96</v>
      </c>
      <c r="D2505" s="3">
        <f>C2505-B2505</f>
        <v>0</v>
      </c>
    </row>
    <row r="2506" spans="1:4">
      <c r="A2506" s="12">
        <v>45968</v>
      </c>
      <c r="B2506" s="3">
        <v>96</v>
      </c>
      <c r="C2506" s="3">
        <v>96</v>
      </c>
      <c r="D2506" s="3">
        <f>C2506-B2506</f>
        <v>0</v>
      </c>
    </row>
    <row r="2507" spans="1:4">
      <c r="A2507" s="12">
        <v>45969</v>
      </c>
      <c r="B2507" s="3">
        <v>96</v>
      </c>
      <c r="C2507" s="3">
        <v>96</v>
      </c>
      <c r="D2507" s="3">
        <f>C2507-B2507</f>
        <v>0</v>
      </c>
    </row>
    <row r="2508" spans="1:4">
      <c r="A2508" s="12">
        <v>45970</v>
      </c>
      <c r="B2508" s="3">
        <v>96</v>
      </c>
      <c r="C2508" s="3">
        <v>96</v>
      </c>
      <c r="D2508" s="3">
        <f>C2508-B2508</f>
        <v>0</v>
      </c>
    </row>
    <row r="2509" spans="1:4">
      <c r="A2509" s="12">
        <v>45971</v>
      </c>
      <c r="B2509" s="3">
        <v>96</v>
      </c>
      <c r="C2509" s="3">
        <v>96</v>
      </c>
      <c r="D2509" s="3">
        <f>C2509-B2509</f>
        <v>0</v>
      </c>
    </row>
    <row r="2510" spans="1:4">
      <c r="A2510" s="12">
        <v>45972</v>
      </c>
      <c r="B2510" s="3">
        <v>96</v>
      </c>
      <c r="C2510" s="3">
        <v>96</v>
      </c>
      <c r="D2510" s="3">
        <f>C2510-B2510</f>
        <v>0</v>
      </c>
    </row>
    <row r="2511" spans="1:4">
      <c r="A2511" s="12">
        <v>45973</v>
      </c>
      <c r="B2511" s="3">
        <v>96</v>
      </c>
      <c r="C2511" s="3">
        <v>96</v>
      </c>
      <c r="D2511" s="3">
        <f>C2511-B2511</f>
        <v>0</v>
      </c>
    </row>
    <row r="2512" spans="1:4">
      <c r="A2512" s="12">
        <v>45974</v>
      </c>
      <c r="B2512" s="3">
        <v>96</v>
      </c>
      <c r="C2512" s="3">
        <v>96</v>
      </c>
      <c r="D2512" s="3">
        <f>C2512-B2512</f>
        <v>0</v>
      </c>
    </row>
    <row r="2513" spans="1:4">
      <c r="A2513" s="12">
        <v>45975</v>
      </c>
      <c r="B2513" s="3">
        <v>96</v>
      </c>
      <c r="C2513" s="3">
        <v>96</v>
      </c>
      <c r="D2513" s="3">
        <f>C2513-B2513</f>
        <v>0</v>
      </c>
    </row>
    <row r="2514" spans="1:4">
      <c r="A2514" s="12">
        <v>45976</v>
      </c>
      <c r="B2514" s="3">
        <v>96</v>
      </c>
      <c r="C2514" s="3">
        <v>96</v>
      </c>
      <c r="D2514" s="3">
        <f>C2514-B2514</f>
        <v>0</v>
      </c>
    </row>
    <row r="2515" spans="1:4">
      <c r="A2515" s="12">
        <v>45977</v>
      </c>
      <c r="B2515" s="3">
        <v>96</v>
      </c>
      <c r="C2515" s="3">
        <v>96</v>
      </c>
      <c r="D2515" s="3">
        <f>C2515-B2515</f>
        <v>0</v>
      </c>
    </row>
    <row r="2516" spans="1:4">
      <c r="A2516" s="12">
        <v>45978</v>
      </c>
      <c r="B2516" s="3">
        <v>96</v>
      </c>
      <c r="C2516" s="3">
        <v>96</v>
      </c>
      <c r="D2516" s="3">
        <f>C2516-B2516</f>
        <v>0</v>
      </c>
    </row>
    <row r="2517" spans="1:4">
      <c r="A2517" s="12">
        <v>45979</v>
      </c>
      <c r="B2517" s="3">
        <v>96</v>
      </c>
      <c r="C2517" s="3">
        <v>96</v>
      </c>
      <c r="D2517" s="3">
        <f>C2517-B2517</f>
        <v>0</v>
      </c>
    </row>
    <row r="2518" spans="1:4">
      <c r="A2518" s="12">
        <v>45980</v>
      </c>
      <c r="B2518" s="3">
        <v>96</v>
      </c>
      <c r="C2518" s="3">
        <v>96</v>
      </c>
      <c r="D2518" s="3">
        <f>C2518-B2518</f>
        <v>0</v>
      </c>
    </row>
    <row r="2519" spans="1:4">
      <c r="A2519" s="12">
        <v>45981</v>
      </c>
      <c r="B2519" s="3">
        <v>96</v>
      </c>
      <c r="C2519" s="3">
        <v>96</v>
      </c>
      <c r="D2519" s="3">
        <f>C2519-B2519</f>
        <v>0</v>
      </c>
    </row>
    <row r="2520" spans="1:4">
      <c r="A2520" s="12">
        <v>45982</v>
      </c>
      <c r="B2520" s="3">
        <v>96</v>
      </c>
      <c r="C2520" s="3">
        <v>96</v>
      </c>
      <c r="D2520" s="3">
        <f>C2520-B2520</f>
        <v>0</v>
      </c>
    </row>
    <row r="2521" spans="1:4">
      <c r="A2521" s="12">
        <v>45983</v>
      </c>
      <c r="B2521" s="3">
        <v>96</v>
      </c>
      <c r="C2521" s="3">
        <v>96</v>
      </c>
      <c r="D2521" s="3">
        <f>C2521-B2521</f>
        <v>0</v>
      </c>
    </row>
    <row r="2522" spans="1:4">
      <c r="A2522" s="12">
        <v>45984</v>
      </c>
      <c r="B2522" s="3">
        <v>96</v>
      </c>
      <c r="C2522" s="3">
        <v>96</v>
      </c>
      <c r="D2522" s="3">
        <f>C2522-B2522</f>
        <v>0</v>
      </c>
    </row>
    <row r="2523" spans="1:4">
      <c r="A2523" s="12">
        <v>45985</v>
      </c>
      <c r="B2523" s="3">
        <v>96</v>
      </c>
      <c r="C2523" s="3">
        <v>96</v>
      </c>
      <c r="D2523" s="3">
        <f>C2523-B2523</f>
        <v>0</v>
      </c>
    </row>
    <row r="2524" spans="1:4">
      <c r="A2524" s="12">
        <v>45986</v>
      </c>
      <c r="B2524" s="3">
        <v>96</v>
      </c>
      <c r="C2524" s="3">
        <v>96</v>
      </c>
      <c r="D2524" s="3">
        <f>C2524-B2524</f>
        <v>0</v>
      </c>
    </row>
    <row r="2525" spans="1:4">
      <c r="A2525" s="12">
        <v>45987</v>
      </c>
      <c r="B2525" s="3">
        <v>96</v>
      </c>
      <c r="C2525" s="3">
        <v>96</v>
      </c>
      <c r="D2525" s="3">
        <f>C2525-B2525</f>
        <v>0</v>
      </c>
    </row>
    <row r="2526" spans="1:4">
      <c r="A2526" s="12">
        <v>45988</v>
      </c>
      <c r="B2526" s="3">
        <v>96</v>
      </c>
      <c r="C2526" s="3">
        <v>96</v>
      </c>
      <c r="D2526" s="3">
        <f>C2526-B2526</f>
        <v>0</v>
      </c>
    </row>
    <row r="2527" spans="1:4">
      <c r="A2527" s="12">
        <v>45989</v>
      </c>
      <c r="B2527" s="3">
        <v>96</v>
      </c>
      <c r="C2527" s="3">
        <v>96</v>
      </c>
      <c r="D2527" s="3">
        <f>C2527-B2527</f>
        <v>0</v>
      </c>
    </row>
    <row r="2528" spans="1:4">
      <c r="A2528" s="12">
        <v>45990</v>
      </c>
      <c r="B2528" s="3">
        <v>96</v>
      </c>
      <c r="C2528" s="3">
        <v>96</v>
      </c>
      <c r="D2528" s="3">
        <f>C2528-B2528</f>
        <v>0</v>
      </c>
    </row>
    <row r="2529" spans="1:4">
      <c r="A2529" s="12">
        <v>45991</v>
      </c>
      <c r="B2529" s="3">
        <v>96</v>
      </c>
      <c r="C2529" s="3">
        <v>96</v>
      </c>
      <c r="D2529" s="3">
        <f>C2529-B2529</f>
        <v>0</v>
      </c>
    </row>
    <row r="2530" spans="1:4">
      <c r="A2530" s="12">
        <v>45992</v>
      </c>
      <c r="B2530" s="3">
        <v>96</v>
      </c>
      <c r="C2530" s="3">
        <v>96</v>
      </c>
      <c r="D2530" s="3">
        <f>C2530-B2530</f>
        <v>0</v>
      </c>
    </row>
    <row r="2531" spans="1:4">
      <c r="A2531" s="12">
        <v>45993</v>
      </c>
      <c r="B2531" s="3">
        <v>96</v>
      </c>
      <c r="C2531" s="3">
        <v>96</v>
      </c>
      <c r="D2531" s="3">
        <f>C2531-B2531</f>
        <v>0</v>
      </c>
    </row>
    <row r="2532" spans="1:4">
      <c r="A2532" s="12">
        <v>45994</v>
      </c>
      <c r="B2532" s="3">
        <v>96</v>
      </c>
      <c r="C2532" s="3">
        <v>96</v>
      </c>
      <c r="D2532" s="3">
        <f>C2532-B2532</f>
        <v>0</v>
      </c>
    </row>
    <row r="2533" spans="1:4">
      <c r="A2533" s="12">
        <v>45995</v>
      </c>
      <c r="B2533" s="3">
        <v>96</v>
      </c>
      <c r="C2533" s="3">
        <v>96</v>
      </c>
      <c r="D2533" s="3">
        <f>C2533-B2533</f>
        <v>0</v>
      </c>
    </row>
    <row r="2534" spans="1:4">
      <c r="A2534" s="12">
        <v>45996</v>
      </c>
      <c r="B2534" s="3">
        <v>96</v>
      </c>
      <c r="C2534" s="3">
        <v>96</v>
      </c>
      <c r="D2534" s="3">
        <f>C2534-B2534</f>
        <v>0</v>
      </c>
    </row>
    <row r="2535" spans="1:4">
      <c r="A2535" s="12">
        <v>45997</v>
      </c>
      <c r="B2535" s="3">
        <v>96</v>
      </c>
      <c r="C2535" s="3">
        <v>96</v>
      </c>
      <c r="D2535" s="3">
        <f>C2535-B2535</f>
        <v>0</v>
      </c>
    </row>
    <row r="2536" spans="1:4">
      <c r="A2536" s="12">
        <v>45998</v>
      </c>
      <c r="B2536" s="3">
        <v>96</v>
      </c>
      <c r="C2536" s="3">
        <v>96</v>
      </c>
      <c r="D2536" s="3">
        <f>C2536-B2536</f>
        <v>0</v>
      </c>
    </row>
    <row r="2537" spans="1:4">
      <c r="A2537" s="12">
        <v>45999</v>
      </c>
      <c r="B2537" s="3">
        <v>96</v>
      </c>
      <c r="C2537" s="3">
        <v>96</v>
      </c>
      <c r="D2537" s="3">
        <f>C2537-B2537</f>
        <v>0</v>
      </c>
    </row>
    <row r="2538" spans="1:4">
      <c r="A2538" s="12">
        <v>46000</v>
      </c>
      <c r="B2538" s="3">
        <v>96</v>
      </c>
      <c r="C2538" s="3">
        <v>96</v>
      </c>
      <c r="D2538" s="3">
        <f>C2538-B2538</f>
        <v>0</v>
      </c>
    </row>
    <row r="2539" spans="1:4">
      <c r="A2539" s="12">
        <v>46001</v>
      </c>
      <c r="B2539" s="3">
        <v>96</v>
      </c>
      <c r="C2539" s="3">
        <v>96</v>
      </c>
      <c r="D2539" s="3">
        <f>C2539-B2539</f>
        <v>0</v>
      </c>
    </row>
    <row r="2540" spans="1:4">
      <c r="A2540" s="12">
        <v>46002</v>
      </c>
      <c r="B2540" s="3">
        <v>96</v>
      </c>
      <c r="C2540" s="3">
        <v>96</v>
      </c>
      <c r="D2540" s="3">
        <f>C2540-B2540</f>
        <v>0</v>
      </c>
    </row>
    <row r="2541" spans="1:4">
      <c r="A2541" s="12">
        <v>46003</v>
      </c>
      <c r="B2541" s="3">
        <v>96</v>
      </c>
      <c r="C2541" s="3">
        <v>96</v>
      </c>
      <c r="D2541" s="3">
        <f>C2541-B2541</f>
        <v>0</v>
      </c>
    </row>
    <row r="2542" spans="1:4">
      <c r="A2542" s="12">
        <v>46004</v>
      </c>
      <c r="B2542" s="3">
        <v>96</v>
      </c>
      <c r="C2542" s="3">
        <v>96</v>
      </c>
      <c r="D2542" s="3">
        <f>C2542-B2542</f>
        <v>0</v>
      </c>
    </row>
    <row r="2543" spans="1:4">
      <c r="A2543" s="12">
        <v>46005</v>
      </c>
      <c r="B2543" s="3">
        <v>96</v>
      </c>
      <c r="C2543" s="3">
        <v>96</v>
      </c>
      <c r="D2543" s="3">
        <f>C2543-B2543</f>
        <v>0</v>
      </c>
    </row>
    <row r="2544" spans="1:4">
      <c r="A2544" s="12">
        <v>46006</v>
      </c>
      <c r="B2544" s="3">
        <v>96</v>
      </c>
      <c r="C2544" s="3">
        <v>96</v>
      </c>
      <c r="D2544" s="3">
        <f>C2544-B2544</f>
        <v>0</v>
      </c>
    </row>
    <row r="2545" spans="1:4">
      <c r="A2545" s="12">
        <v>46007</v>
      </c>
      <c r="B2545" s="3">
        <v>96</v>
      </c>
      <c r="C2545" s="3">
        <v>96</v>
      </c>
      <c r="D2545" s="3">
        <f>C2545-B2545</f>
        <v>0</v>
      </c>
    </row>
    <row r="2546" spans="1:4">
      <c r="A2546" s="12">
        <v>46008</v>
      </c>
      <c r="B2546" s="3">
        <v>96</v>
      </c>
      <c r="C2546" s="3">
        <v>96</v>
      </c>
      <c r="D2546" s="3">
        <f>C2546-B2546</f>
        <v>0</v>
      </c>
    </row>
    <row r="2547" spans="1:4">
      <c r="A2547" s="12">
        <v>46009</v>
      </c>
      <c r="B2547" s="3">
        <v>96</v>
      </c>
      <c r="C2547" s="3">
        <v>96</v>
      </c>
      <c r="D2547" s="3">
        <f>C2547-B2547</f>
        <v>0</v>
      </c>
    </row>
    <row r="2548" spans="1:4">
      <c r="A2548" s="12">
        <v>46010</v>
      </c>
      <c r="B2548" s="3">
        <v>96</v>
      </c>
      <c r="C2548" s="3">
        <v>96</v>
      </c>
      <c r="D2548" s="3">
        <f>C2548-B2548</f>
        <v>0</v>
      </c>
    </row>
    <row r="2549" spans="1:4">
      <c r="A2549" s="12">
        <v>46011</v>
      </c>
      <c r="B2549" s="3">
        <v>96</v>
      </c>
      <c r="C2549" s="3">
        <v>96</v>
      </c>
      <c r="D2549" s="3">
        <f>C2549-B2549</f>
        <v>0</v>
      </c>
    </row>
    <row r="2550" spans="1:4">
      <c r="A2550" s="12">
        <v>46012</v>
      </c>
      <c r="B2550" s="3">
        <v>96</v>
      </c>
      <c r="C2550" s="3">
        <v>96</v>
      </c>
      <c r="D2550" s="3">
        <f>C2550-B2550</f>
        <v>0</v>
      </c>
    </row>
    <row r="2551" spans="1:4">
      <c r="A2551" s="12">
        <v>46013</v>
      </c>
      <c r="B2551" s="3">
        <v>96</v>
      </c>
      <c r="C2551" s="3">
        <v>96</v>
      </c>
      <c r="D2551" s="3">
        <f>C2551-B2551</f>
        <v>0</v>
      </c>
    </row>
    <row r="2552" spans="1:4">
      <c r="A2552" s="12">
        <v>46014</v>
      </c>
      <c r="B2552" s="3">
        <v>96</v>
      </c>
      <c r="C2552" s="3">
        <v>96</v>
      </c>
      <c r="D2552" s="3">
        <f>C2552-B2552</f>
        <v>0</v>
      </c>
    </row>
    <row r="2553" spans="1:4">
      <c r="A2553" s="12">
        <v>46015</v>
      </c>
      <c r="B2553" s="3">
        <v>96</v>
      </c>
      <c r="C2553" s="3">
        <v>96</v>
      </c>
      <c r="D2553" s="3">
        <f>C2553-B2553</f>
        <v>0</v>
      </c>
    </row>
    <row r="2554" spans="1:4">
      <c r="A2554" s="12">
        <v>46016</v>
      </c>
      <c r="B2554" s="3">
        <v>96</v>
      </c>
      <c r="C2554" s="3">
        <v>96</v>
      </c>
      <c r="D2554" s="3">
        <f>C2554-B2554</f>
        <v>0</v>
      </c>
    </row>
    <row r="2555" spans="1:4">
      <c r="A2555" s="12">
        <v>46017</v>
      </c>
      <c r="B2555" s="3">
        <v>96</v>
      </c>
      <c r="C2555" s="3">
        <v>96</v>
      </c>
      <c r="D2555" s="3">
        <f>C2555-B2555</f>
        <v>0</v>
      </c>
    </row>
    <row r="2556" spans="1:4">
      <c r="A2556" s="12">
        <v>46018</v>
      </c>
      <c r="B2556" s="3">
        <v>96</v>
      </c>
      <c r="C2556" s="3">
        <v>96</v>
      </c>
      <c r="D2556" s="3">
        <f>C2556-B2556</f>
        <v>0</v>
      </c>
    </row>
    <row r="2557" spans="1:4">
      <c r="A2557" s="12">
        <v>46019</v>
      </c>
      <c r="B2557" s="3">
        <v>96</v>
      </c>
      <c r="C2557" s="3">
        <v>96</v>
      </c>
      <c r="D2557" s="3">
        <f>C2557-B2557</f>
        <v>0</v>
      </c>
    </row>
    <row r="2558" spans="1:4">
      <c r="A2558" s="12">
        <v>46020</v>
      </c>
      <c r="B2558" s="3">
        <v>96</v>
      </c>
      <c r="C2558" s="3">
        <v>96</v>
      </c>
      <c r="D2558" s="3">
        <f>C2558-B2558</f>
        <v>0</v>
      </c>
    </row>
    <row r="2559" spans="1:4">
      <c r="A2559" s="12">
        <v>46021</v>
      </c>
      <c r="B2559" s="3">
        <v>96</v>
      </c>
      <c r="C2559" s="3">
        <v>96</v>
      </c>
      <c r="D2559" s="3">
        <f>C2559-B2559</f>
        <v>0</v>
      </c>
    </row>
    <row r="2560" spans="1:4">
      <c r="A2560" s="12">
        <v>46022</v>
      </c>
      <c r="B2560" s="3">
        <v>96</v>
      </c>
      <c r="C2560" s="3">
        <v>96</v>
      </c>
      <c r="D2560" s="3">
        <f>C2560-B2560</f>
        <v>0</v>
      </c>
    </row>
    <row r="2561" spans="1:4">
      <c r="A2561" s="12">
        <v>46023</v>
      </c>
      <c r="B2561" s="3">
        <v>96</v>
      </c>
      <c r="C2561" s="3">
        <v>96</v>
      </c>
      <c r="D2561" s="3">
        <f>C2561-B2561</f>
        <v>0</v>
      </c>
    </row>
    <row r="2562" spans="1:4">
      <c r="A2562" s="12">
        <v>46024</v>
      </c>
      <c r="B2562" s="3">
        <v>96</v>
      </c>
      <c r="C2562" s="3">
        <v>96</v>
      </c>
      <c r="D2562" s="3">
        <f>C2562-B2562</f>
        <v>0</v>
      </c>
    </row>
    <row r="2563" spans="1:4">
      <c r="A2563" s="12">
        <v>46025</v>
      </c>
      <c r="B2563" s="3">
        <v>96</v>
      </c>
      <c r="C2563" s="3">
        <v>96</v>
      </c>
      <c r="D2563" s="3">
        <f>C2563-B2563</f>
        <v>0</v>
      </c>
    </row>
    <row r="2564" spans="1:4">
      <c r="A2564" s="12">
        <v>46026</v>
      </c>
      <c r="B2564" s="3">
        <v>96</v>
      </c>
      <c r="C2564" s="3">
        <v>96</v>
      </c>
      <c r="D2564" s="3">
        <f>C2564-B2564</f>
        <v>0</v>
      </c>
    </row>
    <row r="2565" spans="1:4">
      <c r="A2565" s="12">
        <v>46027</v>
      </c>
      <c r="B2565" s="3">
        <v>96</v>
      </c>
      <c r="C2565" s="3">
        <v>96</v>
      </c>
      <c r="D2565" s="3">
        <f>C2565-B2565</f>
        <v>0</v>
      </c>
    </row>
    <row r="2566" spans="1:4">
      <c r="A2566" s="12">
        <v>46028</v>
      </c>
      <c r="B2566" s="3">
        <v>96</v>
      </c>
      <c r="C2566" s="3">
        <v>96</v>
      </c>
      <c r="D2566" s="3">
        <f>C2566-B2566</f>
        <v>0</v>
      </c>
    </row>
    <row r="2567" spans="1:4">
      <c r="A2567" s="12">
        <v>46029</v>
      </c>
      <c r="B2567" s="3">
        <v>96</v>
      </c>
      <c r="C2567" s="3">
        <v>96</v>
      </c>
      <c r="D2567" s="3">
        <f>C2567-B2567</f>
        <v>0</v>
      </c>
    </row>
    <row r="2568" spans="1:4">
      <c r="A2568" s="12">
        <v>46030</v>
      </c>
      <c r="B2568" s="3">
        <v>96</v>
      </c>
      <c r="C2568" s="3">
        <v>96</v>
      </c>
      <c r="D2568" s="3">
        <f>C2568-B2568</f>
        <v>0</v>
      </c>
    </row>
    <row r="2569" spans="1:4">
      <c r="A2569" s="12">
        <v>46031</v>
      </c>
      <c r="B2569" s="3">
        <v>96</v>
      </c>
      <c r="C2569" s="3">
        <v>96</v>
      </c>
      <c r="D2569" s="3">
        <f>C2569-B2569</f>
        <v>0</v>
      </c>
    </row>
    <row r="2570" spans="1:4">
      <c r="A2570" s="12">
        <v>46032</v>
      </c>
      <c r="B2570" s="3">
        <v>96</v>
      </c>
      <c r="C2570" s="3">
        <v>96</v>
      </c>
      <c r="D2570" s="3">
        <f>C2570-B2570</f>
        <v>0</v>
      </c>
    </row>
    <row r="2571" spans="1:4">
      <c r="A2571" s="12">
        <v>46033</v>
      </c>
      <c r="B2571" s="3">
        <v>96</v>
      </c>
      <c r="C2571" s="3">
        <v>96</v>
      </c>
      <c r="D2571" s="3">
        <f>C2571-B2571</f>
        <v>0</v>
      </c>
    </row>
    <row r="2572" spans="1:4">
      <c r="A2572" s="12">
        <v>46034</v>
      </c>
      <c r="B2572" s="3">
        <v>96</v>
      </c>
      <c r="C2572" s="3">
        <v>96</v>
      </c>
      <c r="D2572" s="3">
        <f>C2572-B2572</f>
        <v>0</v>
      </c>
    </row>
    <row r="2573" spans="1:4">
      <c r="A2573" s="12">
        <v>46035</v>
      </c>
      <c r="B2573" s="3">
        <v>96</v>
      </c>
      <c r="C2573" s="3">
        <v>96</v>
      </c>
      <c r="D2573" s="3">
        <f>C2573-B2573</f>
        <v>0</v>
      </c>
    </row>
    <row r="2574" spans="1:4">
      <c r="A2574" s="12">
        <v>46036</v>
      </c>
      <c r="B2574" s="3">
        <v>96</v>
      </c>
      <c r="C2574" s="3">
        <v>96</v>
      </c>
      <c r="D2574" s="3">
        <f>C2574-B2574</f>
        <v>0</v>
      </c>
    </row>
    <row r="2575" spans="1:4">
      <c r="A2575" s="12">
        <v>46037</v>
      </c>
      <c r="B2575" s="3">
        <v>96</v>
      </c>
      <c r="C2575" s="3">
        <v>96</v>
      </c>
      <c r="D2575" s="3">
        <f>C2575-B2575</f>
        <v>0</v>
      </c>
    </row>
    <row r="2576" spans="1:4">
      <c r="A2576" s="12">
        <v>46038</v>
      </c>
      <c r="B2576" s="3">
        <v>96</v>
      </c>
      <c r="C2576" s="3">
        <v>96</v>
      </c>
      <c r="D2576" s="3">
        <f>C2576-B2576</f>
        <v>0</v>
      </c>
    </row>
    <row r="2577" spans="1:4">
      <c r="A2577" s="12">
        <v>46039</v>
      </c>
      <c r="B2577" s="3">
        <v>96</v>
      </c>
      <c r="C2577" s="3">
        <v>96</v>
      </c>
      <c r="D2577" s="3">
        <f>C2577-B2577</f>
        <v>0</v>
      </c>
    </row>
    <row r="2578" spans="1:4">
      <c r="A2578" s="12">
        <v>46040</v>
      </c>
      <c r="B2578" s="3">
        <v>96</v>
      </c>
      <c r="C2578" s="3">
        <v>96</v>
      </c>
      <c r="D2578" s="3">
        <f>C2578-B2578</f>
        <v>0</v>
      </c>
    </row>
    <row r="2579" spans="1:4">
      <c r="A2579" s="12">
        <v>46041</v>
      </c>
      <c r="B2579" s="3">
        <v>96</v>
      </c>
      <c r="C2579" s="3">
        <v>96</v>
      </c>
      <c r="D2579" s="3">
        <f>C2579-B2579</f>
        <v>0</v>
      </c>
    </row>
    <row r="2580" spans="1:4">
      <c r="A2580" s="12">
        <v>46042</v>
      </c>
      <c r="B2580" s="3">
        <v>96</v>
      </c>
      <c r="C2580" s="3">
        <v>96</v>
      </c>
      <c r="D2580" s="3">
        <f>C2580-B2580</f>
        <v>0</v>
      </c>
    </row>
    <row r="2581" spans="1:4">
      <c r="A2581" s="12">
        <v>46043</v>
      </c>
      <c r="B2581" s="3">
        <v>96</v>
      </c>
      <c r="C2581" s="3">
        <v>96</v>
      </c>
      <c r="D2581" s="3">
        <f>C2581-B2581</f>
        <v>0</v>
      </c>
    </row>
    <row r="2582" spans="1:4">
      <c r="A2582" s="12">
        <v>46044</v>
      </c>
      <c r="B2582" s="3">
        <v>96</v>
      </c>
      <c r="C2582" s="3">
        <v>96</v>
      </c>
      <c r="D2582" s="3">
        <f>C2582-B2582</f>
        <v>0</v>
      </c>
    </row>
    <row r="2583" spans="1:4">
      <c r="A2583" s="12">
        <v>46045</v>
      </c>
      <c r="B2583" s="3">
        <v>96</v>
      </c>
      <c r="C2583" s="3">
        <v>96</v>
      </c>
      <c r="D2583" s="3">
        <f>C2583-B2583</f>
        <v>0</v>
      </c>
    </row>
    <row r="2584" spans="1:4">
      <c r="A2584" s="12">
        <v>46046</v>
      </c>
      <c r="B2584" s="3">
        <v>96</v>
      </c>
      <c r="C2584" s="3">
        <v>96</v>
      </c>
      <c r="D2584" s="3">
        <f>C2584-B2584</f>
        <v>0</v>
      </c>
    </row>
    <row r="2585" spans="1:4">
      <c r="A2585" s="12">
        <v>46047</v>
      </c>
      <c r="B2585" s="3">
        <v>96</v>
      </c>
      <c r="C2585" s="3">
        <v>96</v>
      </c>
      <c r="D2585" s="3">
        <f>C2585-B2585</f>
        <v>0</v>
      </c>
    </row>
    <row r="2586" spans="1:4">
      <c r="A2586" s="12">
        <v>46048</v>
      </c>
      <c r="B2586" s="3">
        <v>96</v>
      </c>
      <c r="C2586" s="3">
        <v>96</v>
      </c>
      <c r="D2586" s="3">
        <f>C2586-B2586</f>
        <v>0</v>
      </c>
    </row>
    <row r="2587" spans="1:4">
      <c r="A2587" s="12">
        <v>46049</v>
      </c>
      <c r="B2587" s="3">
        <v>96</v>
      </c>
      <c r="C2587" s="3">
        <v>96</v>
      </c>
      <c r="D2587" s="3">
        <f>C2587-B2587</f>
        <v>0</v>
      </c>
    </row>
    <row r="2588" spans="1:4">
      <c r="A2588" s="12">
        <v>46050</v>
      </c>
      <c r="B2588" s="3">
        <v>96</v>
      </c>
      <c r="C2588" s="3">
        <v>96</v>
      </c>
      <c r="D2588" s="3">
        <f>C2588-B2588</f>
        <v>0</v>
      </c>
    </row>
    <row r="2589" spans="1:4">
      <c r="A2589" s="12">
        <v>46051</v>
      </c>
      <c r="B2589" s="3">
        <v>96</v>
      </c>
      <c r="C2589" s="3">
        <v>96</v>
      </c>
      <c r="D2589" s="3">
        <f>C2589-B2589</f>
        <v>0</v>
      </c>
    </row>
    <row r="2590" spans="1:4">
      <c r="A2590" s="12">
        <v>46052</v>
      </c>
      <c r="B2590" s="3">
        <v>96</v>
      </c>
      <c r="C2590" s="3">
        <v>96</v>
      </c>
      <c r="D2590" s="3">
        <f>C2590-B2590</f>
        <v>0</v>
      </c>
    </row>
    <row r="2591" spans="1:4">
      <c r="A2591" s="12">
        <v>46053</v>
      </c>
      <c r="B2591" s="3">
        <v>96</v>
      </c>
      <c r="C2591" s="3">
        <v>96</v>
      </c>
      <c r="D2591" s="3">
        <f>C2591-B2591</f>
        <v>0</v>
      </c>
    </row>
    <row r="2592" spans="1:4">
      <c r="A2592" s="12">
        <v>46054</v>
      </c>
      <c r="B2592" s="3">
        <v>96</v>
      </c>
      <c r="C2592" s="3">
        <v>96</v>
      </c>
      <c r="D2592" s="3">
        <f>C2592-B2592</f>
        <v>0</v>
      </c>
    </row>
    <row r="2593" spans="1:4">
      <c r="A2593" s="12">
        <v>46055</v>
      </c>
      <c r="B2593" s="3">
        <v>96</v>
      </c>
      <c r="C2593" s="3">
        <v>96</v>
      </c>
      <c r="D2593" s="3">
        <f>C2593-B2593</f>
        <v>0</v>
      </c>
    </row>
    <row r="2594" spans="1:4">
      <c r="A2594" s="12">
        <v>46056</v>
      </c>
      <c r="B2594" s="3">
        <v>96</v>
      </c>
      <c r="C2594" s="3">
        <v>96</v>
      </c>
      <c r="D2594" s="3">
        <f>C2594-B2594</f>
        <v>0</v>
      </c>
    </row>
    <row r="2595" spans="1:4">
      <c r="A2595" s="12">
        <v>46057</v>
      </c>
      <c r="B2595" s="3">
        <v>96</v>
      </c>
      <c r="C2595" s="3">
        <v>96</v>
      </c>
      <c r="D2595" s="3">
        <f>C2595-B2595</f>
        <v>0</v>
      </c>
    </row>
    <row r="2596" spans="1:4">
      <c r="A2596" s="12">
        <v>46058</v>
      </c>
      <c r="B2596" s="3">
        <v>96</v>
      </c>
      <c r="C2596" s="3">
        <v>96</v>
      </c>
      <c r="D2596" s="3">
        <f>C2596-B2596</f>
        <v>0</v>
      </c>
    </row>
    <row r="2597" spans="1:4">
      <c r="A2597" s="12">
        <v>46059</v>
      </c>
      <c r="B2597" s="3">
        <v>96</v>
      </c>
      <c r="C2597" s="3">
        <v>96</v>
      </c>
      <c r="D2597" s="3">
        <f>C2597-B2597</f>
        <v>0</v>
      </c>
    </row>
    <row r="2598" spans="1:4">
      <c r="A2598" s="12">
        <v>46060</v>
      </c>
      <c r="B2598" s="3">
        <v>96</v>
      </c>
      <c r="C2598" s="3">
        <v>96</v>
      </c>
      <c r="D2598" s="3">
        <f>C2598-B2598</f>
        <v>0</v>
      </c>
    </row>
    <row r="2599" spans="1:4">
      <c r="A2599" s="12">
        <v>46061</v>
      </c>
      <c r="B2599" s="3">
        <v>96</v>
      </c>
      <c r="C2599" s="3">
        <v>96</v>
      </c>
      <c r="D2599" s="3">
        <f>C2599-B2599</f>
        <v>0</v>
      </c>
    </row>
    <row r="2600" spans="1:4">
      <c r="A2600" s="12">
        <v>46062</v>
      </c>
      <c r="B2600" s="3">
        <v>96</v>
      </c>
      <c r="C2600" s="3">
        <v>96</v>
      </c>
      <c r="D2600" s="3">
        <f>C2600-B2600</f>
        <v>0</v>
      </c>
    </row>
    <row r="2601" spans="1:4">
      <c r="A2601" s="12">
        <v>46063</v>
      </c>
      <c r="B2601" s="3">
        <v>96</v>
      </c>
      <c r="C2601" s="3">
        <v>96</v>
      </c>
      <c r="D2601" s="3">
        <f>C2601-B2601</f>
        <v>0</v>
      </c>
    </row>
    <row r="2602" spans="1:4">
      <c r="A2602" s="12">
        <v>46064</v>
      </c>
      <c r="B2602" s="3">
        <v>96</v>
      </c>
      <c r="C2602" s="3">
        <v>96</v>
      </c>
      <c r="D2602" s="3">
        <f>C2602-B2602</f>
        <v>0</v>
      </c>
    </row>
    <row r="2603" spans="1:4">
      <c r="A2603" s="12">
        <v>46065</v>
      </c>
      <c r="B2603" s="3">
        <v>96</v>
      </c>
      <c r="C2603" s="3">
        <v>96</v>
      </c>
      <c r="D2603" s="3">
        <f>C2603-B2603</f>
        <v>0</v>
      </c>
    </row>
    <row r="2604" spans="1:4">
      <c r="A2604" s="12">
        <v>46066</v>
      </c>
      <c r="B2604" s="3">
        <v>96</v>
      </c>
      <c r="C2604" s="3">
        <v>96</v>
      </c>
      <c r="D2604" s="3">
        <f>C2604-B2604</f>
        <v>0</v>
      </c>
    </row>
    <row r="2605" spans="1:4">
      <c r="A2605" s="12">
        <v>46067</v>
      </c>
      <c r="B2605" s="3">
        <v>96</v>
      </c>
      <c r="C2605" s="3">
        <v>96</v>
      </c>
      <c r="D2605" s="3">
        <f>C2605-B2605</f>
        <v>0</v>
      </c>
    </row>
    <row r="2606" spans="1:4">
      <c r="A2606" s="12">
        <v>46068</v>
      </c>
      <c r="B2606" s="3">
        <v>96</v>
      </c>
      <c r="C2606" s="3">
        <v>96</v>
      </c>
      <c r="D2606" s="3">
        <f>C2606-B2606</f>
        <v>0</v>
      </c>
    </row>
    <row r="2607" spans="1:4">
      <c r="A2607" s="12">
        <v>46069</v>
      </c>
      <c r="B2607" s="3">
        <v>96</v>
      </c>
      <c r="C2607" s="3">
        <v>96</v>
      </c>
      <c r="D2607" s="3">
        <f>C2607-B2607</f>
        <v>0</v>
      </c>
    </row>
    <row r="2608" spans="1:4">
      <c r="A2608" s="12">
        <v>46070</v>
      </c>
      <c r="B2608" s="3">
        <v>96</v>
      </c>
      <c r="C2608" s="3">
        <v>96</v>
      </c>
      <c r="D2608" s="3">
        <f>C2608-B2608</f>
        <v>0</v>
      </c>
    </row>
    <row r="2609" spans="1:4">
      <c r="A2609" s="12">
        <v>46071</v>
      </c>
      <c r="B2609" s="3">
        <v>96</v>
      </c>
      <c r="C2609" s="3">
        <v>96</v>
      </c>
      <c r="D2609" s="3">
        <f>C2609-B2609</f>
        <v>0</v>
      </c>
    </row>
    <row r="2610" spans="1:4">
      <c r="A2610" s="12">
        <v>46072</v>
      </c>
      <c r="B2610" s="3">
        <v>96</v>
      </c>
      <c r="C2610" s="3">
        <v>96</v>
      </c>
      <c r="D2610" s="3">
        <f>C2610-B2610</f>
        <v>0</v>
      </c>
    </row>
    <row r="2611" spans="1:4">
      <c r="A2611" s="12">
        <v>46073</v>
      </c>
      <c r="B2611" s="3">
        <v>96</v>
      </c>
      <c r="C2611" s="3">
        <v>96</v>
      </c>
      <c r="D2611" s="3">
        <f>C2611-B2611</f>
        <v>0</v>
      </c>
    </row>
    <row r="2612" spans="1:4">
      <c r="A2612" s="12">
        <v>46074</v>
      </c>
      <c r="B2612" s="3">
        <v>96</v>
      </c>
      <c r="C2612" s="3">
        <v>96</v>
      </c>
      <c r="D2612" s="3">
        <f>C2612-B2612</f>
        <v>0</v>
      </c>
    </row>
    <row r="2613" spans="1:4">
      <c r="A2613" s="12">
        <v>46075</v>
      </c>
      <c r="B2613" s="3">
        <v>96</v>
      </c>
      <c r="C2613" s="3">
        <v>96</v>
      </c>
      <c r="D2613" s="3">
        <f>C2613-B2613</f>
        <v>0</v>
      </c>
    </row>
    <row r="2614" spans="1:4">
      <c r="A2614" s="12">
        <v>46076</v>
      </c>
      <c r="B2614" s="3">
        <v>96</v>
      </c>
      <c r="C2614" s="3">
        <v>96</v>
      </c>
      <c r="D2614" s="3">
        <f>C2614-B2614</f>
        <v>0</v>
      </c>
    </row>
    <row r="2615" spans="1:4">
      <c r="A2615" s="12">
        <v>46077</v>
      </c>
      <c r="B2615" s="3">
        <v>96</v>
      </c>
      <c r="C2615" s="3">
        <v>96</v>
      </c>
      <c r="D2615" s="3">
        <f>C2615-B2615</f>
        <v>0</v>
      </c>
    </row>
    <row r="2616" spans="1:4">
      <c r="A2616" s="12">
        <v>46078</v>
      </c>
      <c r="B2616" s="3">
        <v>96</v>
      </c>
      <c r="C2616" s="3">
        <v>96</v>
      </c>
      <c r="D2616" s="3">
        <f>C2616-B2616</f>
        <v>0</v>
      </c>
    </row>
    <row r="2617" spans="1:4">
      <c r="A2617" s="12">
        <v>46079</v>
      </c>
      <c r="B2617" s="3">
        <v>96</v>
      </c>
      <c r="C2617" s="3">
        <v>96</v>
      </c>
      <c r="D2617" s="3">
        <f>C2617-B2617</f>
        <v>0</v>
      </c>
    </row>
    <row r="2618" spans="1:4">
      <c r="A2618" s="12">
        <v>46080</v>
      </c>
      <c r="B2618" s="3">
        <v>96</v>
      </c>
      <c r="C2618" s="3">
        <v>96</v>
      </c>
      <c r="D2618" s="3">
        <f>C2618-B2618</f>
        <v>0</v>
      </c>
    </row>
    <row r="2619" spans="1:4">
      <c r="A2619" s="12">
        <v>46081</v>
      </c>
      <c r="B2619" s="3">
        <v>96</v>
      </c>
      <c r="C2619" s="3">
        <v>96</v>
      </c>
      <c r="D2619" s="3">
        <f>C2619-B2619</f>
        <v>0</v>
      </c>
    </row>
    <row r="2620" spans="1:4">
      <c r="A2620" s="12">
        <v>46082</v>
      </c>
      <c r="B2620" s="3">
        <v>96</v>
      </c>
      <c r="C2620" s="3">
        <v>96</v>
      </c>
      <c r="D2620" s="3">
        <f>C2620-B2620</f>
        <v>0</v>
      </c>
    </row>
    <row r="2621" spans="1:4">
      <c r="A2621" s="12">
        <v>46083</v>
      </c>
      <c r="B2621" s="3">
        <v>96</v>
      </c>
      <c r="C2621" s="3">
        <v>96</v>
      </c>
      <c r="D2621" s="3">
        <f>C2621-B2621</f>
        <v>0</v>
      </c>
    </row>
    <row r="2622" spans="1:4">
      <c r="A2622" s="12">
        <v>46084</v>
      </c>
      <c r="B2622" s="3">
        <v>96</v>
      </c>
      <c r="C2622" s="3">
        <v>96</v>
      </c>
      <c r="D2622" s="3">
        <f>C2622-B2622</f>
        <v>0</v>
      </c>
    </row>
    <row r="2623" spans="1:4">
      <c r="A2623" s="12">
        <v>46085</v>
      </c>
      <c r="B2623" s="3">
        <v>96</v>
      </c>
      <c r="C2623" s="3">
        <v>96</v>
      </c>
      <c r="D2623" s="3">
        <f>C2623-B2623</f>
        <v>0</v>
      </c>
    </row>
    <row r="2624" spans="1:4">
      <c r="A2624" s="12">
        <v>46086</v>
      </c>
      <c r="B2624" s="3">
        <v>96</v>
      </c>
      <c r="C2624" s="3">
        <v>96</v>
      </c>
      <c r="D2624" s="3">
        <f>C2624-B2624</f>
        <v>0</v>
      </c>
    </row>
    <row r="2625" spans="1:4">
      <c r="A2625" s="12">
        <v>46087</v>
      </c>
      <c r="B2625" s="3">
        <v>96</v>
      </c>
      <c r="C2625" s="3">
        <v>96</v>
      </c>
      <c r="D2625" s="3">
        <f>C2625-B2625</f>
        <v>0</v>
      </c>
    </row>
    <row r="2626" spans="1:4">
      <c r="A2626" s="12">
        <v>46088</v>
      </c>
      <c r="B2626" s="3">
        <v>96</v>
      </c>
      <c r="C2626" s="3">
        <v>96</v>
      </c>
      <c r="D2626" s="3">
        <f>C2626-B2626</f>
        <v>0</v>
      </c>
    </row>
    <row r="2627" spans="1:4">
      <c r="A2627" s="12">
        <v>46089</v>
      </c>
      <c r="B2627" s="3">
        <v>96</v>
      </c>
      <c r="C2627" s="3">
        <v>96</v>
      </c>
      <c r="D2627" s="3">
        <f>C2627-B2627</f>
        <v>0</v>
      </c>
    </row>
    <row r="2628" spans="1:4">
      <c r="A2628" s="12">
        <v>46090</v>
      </c>
      <c r="B2628" s="3">
        <v>96</v>
      </c>
      <c r="C2628" s="3">
        <v>96</v>
      </c>
      <c r="D2628" s="3">
        <f>C2628-B2628</f>
        <v>0</v>
      </c>
    </row>
    <row r="2629" spans="1:4">
      <c r="A2629" s="12">
        <v>46091</v>
      </c>
      <c r="B2629" s="3">
        <v>96</v>
      </c>
      <c r="C2629" s="3">
        <v>96</v>
      </c>
      <c r="D2629" s="3">
        <f>C2629-B2629</f>
        <v>0</v>
      </c>
    </row>
    <row r="2630" spans="1:4">
      <c r="A2630" s="12">
        <v>46092</v>
      </c>
      <c r="B2630" s="3">
        <v>96</v>
      </c>
      <c r="C2630" s="3">
        <v>96</v>
      </c>
      <c r="D2630" s="3">
        <f>C2630-B2630</f>
        <v>0</v>
      </c>
    </row>
    <row r="2631" spans="1:4">
      <c r="A2631" s="12">
        <v>46093</v>
      </c>
      <c r="B2631" s="3">
        <v>96</v>
      </c>
      <c r="C2631" s="3">
        <v>96</v>
      </c>
      <c r="D2631" s="3">
        <f>C2631-B2631</f>
        <v>0</v>
      </c>
    </row>
    <row r="2632" spans="1:4">
      <c r="A2632" s="12">
        <v>46094</v>
      </c>
      <c r="B2632" s="3">
        <v>96</v>
      </c>
      <c r="C2632" s="3">
        <v>96</v>
      </c>
      <c r="D2632" s="3">
        <f>C2632-B2632</f>
        <v>0</v>
      </c>
    </row>
    <row r="2633" spans="1:4">
      <c r="A2633" s="12">
        <v>46095</v>
      </c>
      <c r="B2633" s="3">
        <v>96</v>
      </c>
      <c r="C2633" s="3">
        <v>96</v>
      </c>
      <c r="D2633" s="3">
        <f>C2633-B2633</f>
        <v>0</v>
      </c>
    </row>
    <row r="2634" spans="1:4">
      <c r="A2634" s="12">
        <v>46096</v>
      </c>
      <c r="B2634" s="3">
        <v>96</v>
      </c>
      <c r="C2634" s="3">
        <v>96</v>
      </c>
      <c r="D2634" s="3">
        <f>C2634-B2634</f>
        <v>0</v>
      </c>
    </row>
    <row r="2635" spans="1:4">
      <c r="A2635" s="12">
        <v>46097</v>
      </c>
      <c r="B2635" s="3">
        <v>96</v>
      </c>
      <c r="C2635" s="3">
        <v>96</v>
      </c>
      <c r="D2635" s="3">
        <f>C2635-B2635</f>
        <v>0</v>
      </c>
    </row>
    <row r="2636" spans="1:4">
      <c r="A2636" s="12">
        <v>46098</v>
      </c>
      <c r="B2636" s="3">
        <v>96</v>
      </c>
      <c r="C2636" s="3">
        <v>96</v>
      </c>
      <c r="D2636" s="3">
        <f>C2636-B2636</f>
        <v>0</v>
      </c>
    </row>
    <row r="2637" spans="1:4">
      <c r="A2637" s="12">
        <v>46099</v>
      </c>
      <c r="B2637" s="3">
        <v>96</v>
      </c>
      <c r="C2637" s="3">
        <v>96</v>
      </c>
      <c r="D2637" s="3">
        <f>C2637-B2637</f>
        <v>0</v>
      </c>
    </row>
    <row r="2638" spans="1:4">
      <c r="A2638" s="12">
        <v>46100</v>
      </c>
      <c r="B2638" s="3">
        <v>96</v>
      </c>
      <c r="C2638" s="3">
        <v>96</v>
      </c>
      <c r="D2638" s="3">
        <f>C2638-B2638</f>
        <v>0</v>
      </c>
    </row>
    <row r="2639" spans="1:4">
      <c r="A2639" s="12">
        <v>46101</v>
      </c>
      <c r="B2639" s="3">
        <v>96</v>
      </c>
      <c r="C2639" s="3">
        <v>96</v>
      </c>
      <c r="D2639" s="3">
        <f>C2639-B2639</f>
        <v>0</v>
      </c>
    </row>
    <row r="2640" spans="1:4">
      <c r="A2640" s="12">
        <v>46102</v>
      </c>
      <c r="B2640" s="3">
        <v>96</v>
      </c>
      <c r="C2640" s="3">
        <v>96</v>
      </c>
      <c r="D2640" s="3">
        <f>C2640-B2640</f>
        <v>0</v>
      </c>
    </row>
    <row r="2641" spans="1:4">
      <c r="A2641" s="12">
        <v>46103</v>
      </c>
      <c r="B2641" s="3">
        <v>96</v>
      </c>
      <c r="C2641" s="3">
        <v>96</v>
      </c>
      <c r="D2641" s="3">
        <f>C2641-B2641</f>
        <v>0</v>
      </c>
    </row>
    <row r="2642" spans="1:4">
      <c r="A2642" s="12">
        <v>46104</v>
      </c>
      <c r="B2642" s="3">
        <v>96</v>
      </c>
      <c r="C2642" s="3">
        <v>96</v>
      </c>
      <c r="D2642" s="3">
        <f>C2642-B2642</f>
        <v>0</v>
      </c>
    </row>
    <row r="2643" spans="1:4">
      <c r="A2643" s="12">
        <v>46105</v>
      </c>
      <c r="B2643" s="3">
        <v>96</v>
      </c>
      <c r="C2643" s="3">
        <v>96</v>
      </c>
      <c r="D2643" s="3">
        <f>C2643-B2643</f>
        <v>0</v>
      </c>
    </row>
    <row r="2644" spans="1:4">
      <c r="A2644" s="12">
        <v>46106</v>
      </c>
      <c r="B2644" s="3">
        <v>96</v>
      </c>
      <c r="C2644" s="3">
        <v>96</v>
      </c>
      <c r="D2644" s="3">
        <f>C2644-B2644</f>
        <v>0</v>
      </c>
    </row>
    <row r="2645" spans="1:4">
      <c r="A2645" s="12">
        <v>46107</v>
      </c>
      <c r="B2645" s="3">
        <v>96</v>
      </c>
      <c r="C2645" s="3">
        <v>96</v>
      </c>
      <c r="D2645" s="3">
        <f>C2645-B2645</f>
        <v>0</v>
      </c>
    </row>
    <row r="2646" spans="1:4">
      <c r="A2646" s="12">
        <v>46108</v>
      </c>
      <c r="B2646" s="3">
        <v>96</v>
      </c>
      <c r="C2646" s="3">
        <v>96</v>
      </c>
      <c r="D2646" s="3">
        <f>C2646-B2646</f>
        <v>0</v>
      </c>
    </row>
    <row r="2647" spans="1:4">
      <c r="A2647" s="12">
        <v>46109</v>
      </c>
      <c r="B2647" s="3">
        <v>96</v>
      </c>
      <c r="C2647" s="3">
        <v>96</v>
      </c>
      <c r="D2647" s="3">
        <f>C2647-B2647</f>
        <v>0</v>
      </c>
    </row>
    <row r="2648" spans="1:4">
      <c r="A2648" s="12">
        <v>46110</v>
      </c>
      <c r="B2648" s="3">
        <v>92</v>
      </c>
      <c r="C2648" s="3">
        <v>92</v>
      </c>
      <c r="D2648" s="3">
        <f>C2648-B2648</f>
        <v>0</v>
      </c>
    </row>
    <row r="2649" spans="1:4">
      <c r="A2649" s="12">
        <v>46111</v>
      </c>
      <c r="B2649" s="3">
        <v>96</v>
      </c>
      <c r="C2649" s="3">
        <v>96</v>
      </c>
      <c r="D2649" s="3">
        <f>C2649-B2649</f>
        <v>0</v>
      </c>
    </row>
    <row r="2650" spans="1:4">
      <c r="A2650" s="12">
        <v>46112</v>
      </c>
      <c r="B2650" s="3">
        <v>96</v>
      </c>
      <c r="C2650" s="3">
        <v>96</v>
      </c>
      <c r="D2650" s="3">
        <f>C2650-B2650</f>
        <v>0</v>
      </c>
    </row>
    <row r="2651" spans="1:4">
      <c r="A2651" s="12">
        <v>46113</v>
      </c>
      <c r="B2651" s="3">
        <v>96</v>
      </c>
      <c r="C2651" s="3">
        <v>96</v>
      </c>
      <c r="D2651" s="3">
        <f>C2651-B2651</f>
        <v>0</v>
      </c>
    </row>
    <row r="2652" spans="1:4">
      <c r="A2652" s="12">
        <v>46114</v>
      </c>
      <c r="B2652" s="3">
        <v>96</v>
      </c>
      <c r="C2652" s="3">
        <v>96</v>
      </c>
      <c r="D2652" s="3">
        <f>C2652-B2652</f>
        <v>0</v>
      </c>
    </row>
    <row r="2653" spans="1:4">
      <c r="A2653" s="12">
        <v>46115</v>
      </c>
      <c r="B2653" s="3">
        <v>96</v>
      </c>
      <c r="C2653" s="3">
        <v>96</v>
      </c>
      <c r="D2653" s="3">
        <f>C2653-B2653</f>
        <v>0</v>
      </c>
    </row>
    <row r="2654" spans="1:4">
      <c r="A2654" s="12">
        <v>46116</v>
      </c>
      <c r="B2654" s="3">
        <v>96</v>
      </c>
      <c r="C2654" s="3">
        <v>96</v>
      </c>
      <c r="D2654" s="3">
        <f>C2654-B2654</f>
        <v>0</v>
      </c>
    </row>
    <row r="2655" spans="1:4">
      <c r="A2655" s="12">
        <v>46117</v>
      </c>
      <c r="B2655" s="3">
        <v>96</v>
      </c>
      <c r="C2655" s="3">
        <v>96</v>
      </c>
      <c r="D2655" s="3">
        <f>C2655-B2655</f>
        <v>0</v>
      </c>
    </row>
    <row r="2656" spans="1:4">
      <c r="A2656" s="12">
        <v>46118</v>
      </c>
      <c r="B2656" s="3">
        <v>96</v>
      </c>
      <c r="C2656" s="3">
        <v>96</v>
      </c>
      <c r="D2656" s="3">
        <f>C2656-B2656</f>
        <v>0</v>
      </c>
    </row>
    <row r="2657" spans="1:4">
      <c r="A2657" s="12">
        <v>46119</v>
      </c>
      <c r="B2657" s="3">
        <v>96</v>
      </c>
      <c r="C2657" s="3">
        <v>96</v>
      </c>
      <c r="D2657" s="3">
        <f>C2657-B2657</f>
        <v>0</v>
      </c>
    </row>
    <row r="2658" spans="1:4">
      <c r="A2658" s="12">
        <v>46120</v>
      </c>
      <c r="B2658" s="3">
        <v>96</v>
      </c>
      <c r="C2658" s="3">
        <v>96</v>
      </c>
      <c r="D2658" s="3">
        <f>C2658-B2658</f>
        <v>0</v>
      </c>
    </row>
    <row r="2659" spans="1:4">
      <c r="A2659" s="12">
        <v>46121</v>
      </c>
      <c r="B2659" s="3">
        <v>96</v>
      </c>
      <c r="C2659" s="3">
        <v>96</v>
      </c>
      <c r="D2659" s="3">
        <f>C2659-B2659</f>
        <v>0</v>
      </c>
    </row>
    <row r="2660" spans="1:4">
      <c r="A2660" s="12">
        <v>46122</v>
      </c>
      <c r="B2660" s="3">
        <v>96</v>
      </c>
      <c r="C2660" s="3">
        <v>96</v>
      </c>
      <c r="D2660" s="3">
        <f>C2660-B2660</f>
        <v>0</v>
      </c>
    </row>
    <row r="2661" spans="1:4">
      <c r="A2661" s="12">
        <v>46123</v>
      </c>
      <c r="B2661" s="3">
        <v>96</v>
      </c>
      <c r="C2661" s="3">
        <v>96</v>
      </c>
      <c r="D2661" s="3">
        <f>C2661-B2661</f>
        <v>0</v>
      </c>
    </row>
    <row r="2662" spans="1:4">
      <c r="A2662" s="12">
        <v>46124</v>
      </c>
      <c r="B2662" s="3">
        <v>96</v>
      </c>
      <c r="C2662" s="3">
        <v>96</v>
      </c>
      <c r="D2662" s="3">
        <f>C2662-B2662</f>
        <v>0</v>
      </c>
    </row>
    <row r="2663" spans="1:4">
      <c r="A2663" s="12">
        <v>46125</v>
      </c>
      <c r="B2663" s="3">
        <v>96</v>
      </c>
      <c r="C2663" s="3">
        <v>96</v>
      </c>
      <c r="D2663" s="3">
        <f>C2663-B2663</f>
        <v>0</v>
      </c>
    </row>
    <row r="2664" spans="1:4">
      <c r="A2664" s="12">
        <v>46126</v>
      </c>
      <c r="B2664" s="3">
        <v>96</v>
      </c>
      <c r="C2664" s="3">
        <v>96</v>
      </c>
      <c r="D2664" s="3">
        <f>C2664-B2664</f>
        <v>0</v>
      </c>
    </row>
    <row r="2665" spans="1:4">
      <c r="A2665" s="12">
        <v>46127</v>
      </c>
      <c r="B2665" s="3">
        <v>96</v>
      </c>
      <c r="C2665" s="3">
        <v>96</v>
      </c>
      <c r="D2665" s="3">
        <f>C2665-B2665</f>
        <v>0</v>
      </c>
    </row>
    <row r="2666" spans="1:4">
      <c r="A2666" s="12">
        <v>46128</v>
      </c>
      <c r="B2666" s="3">
        <v>96</v>
      </c>
      <c r="C2666" s="3">
        <v>96</v>
      </c>
      <c r="D2666" s="3">
        <f>C2666-B2666</f>
        <v>0</v>
      </c>
    </row>
    <row r="2667" spans="1:4">
      <c r="A2667" s="12">
        <v>46129</v>
      </c>
      <c r="B2667" s="3">
        <v>96</v>
      </c>
      <c r="C2667" s="3">
        <v>96</v>
      </c>
      <c r="D2667" s="3">
        <f>C2667-B2667</f>
        <v>0</v>
      </c>
    </row>
    <row r="2668" spans="1:4">
      <c r="A2668" s="12">
        <v>46130</v>
      </c>
      <c r="B2668" s="3">
        <v>96</v>
      </c>
      <c r="C2668" s="3">
        <v>96</v>
      </c>
      <c r="D2668" s="3">
        <f>C2668-B2668</f>
        <v>0</v>
      </c>
    </row>
    <row r="2669" spans="1:4">
      <c r="A2669" s="12">
        <v>46131</v>
      </c>
      <c r="B2669" s="3">
        <v>96</v>
      </c>
      <c r="C2669" s="3">
        <v>96</v>
      </c>
      <c r="D2669" s="3">
        <f>C2669-B2669</f>
        <v>0</v>
      </c>
    </row>
    <row r="2670" spans="1:4">
      <c r="A2670" s="12">
        <v>46132</v>
      </c>
      <c r="B2670" s="3">
        <v>96</v>
      </c>
      <c r="C2670" s="3">
        <v>96</v>
      </c>
      <c r="D2670" s="3">
        <f>C2670-B2670</f>
        <v>0</v>
      </c>
    </row>
    <row r="2671" spans="1:4">
      <c r="A2671" s="12">
        <v>46133</v>
      </c>
      <c r="B2671" s="3">
        <v>96</v>
      </c>
      <c r="C2671" s="3">
        <v>96</v>
      </c>
      <c r="D2671" s="3">
        <f>C2671-B2671</f>
        <v>0</v>
      </c>
    </row>
    <row r="2672" spans="1:4">
      <c r="A2672" s="12">
        <v>46134</v>
      </c>
      <c r="B2672" s="3">
        <v>96</v>
      </c>
      <c r="C2672" s="3">
        <v>96</v>
      </c>
      <c r="D2672" s="3">
        <f>C2672-B2672</f>
        <v>0</v>
      </c>
    </row>
    <row r="2673" spans="1:4">
      <c r="A2673" s="12">
        <v>46135</v>
      </c>
      <c r="B2673" s="3">
        <v>96</v>
      </c>
      <c r="C2673" s="3">
        <v>96</v>
      </c>
      <c r="D2673" s="3">
        <f>C2673-B2673</f>
        <v>0</v>
      </c>
    </row>
    <row r="2674" spans="1:4">
      <c r="A2674" s="12">
        <v>46136</v>
      </c>
      <c r="B2674" s="3">
        <v>96</v>
      </c>
      <c r="C2674" s="3">
        <v>96</v>
      </c>
      <c r="D2674" s="3">
        <f>C2674-B2674</f>
        <v>0</v>
      </c>
    </row>
    <row r="2675" spans="1:4">
      <c r="A2675" s="12">
        <v>46137</v>
      </c>
      <c r="B2675" s="3">
        <v>96</v>
      </c>
      <c r="C2675" s="3">
        <v>96</v>
      </c>
      <c r="D2675" s="3">
        <f>C2675-B2675</f>
        <v>0</v>
      </c>
    </row>
    <row r="2676" spans="1:4">
      <c r="A2676" s="12">
        <v>46138</v>
      </c>
      <c r="B2676" s="3">
        <v>96</v>
      </c>
      <c r="C2676" s="3">
        <v>96</v>
      </c>
      <c r="D2676" s="3">
        <f>C2676-B2676</f>
        <v>0</v>
      </c>
    </row>
    <row r="2677" spans="1:4">
      <c r="A2677" s="12">
        <v>46139</v>
      </c>
      <c r="B2677" s="3">
        <v>96</v>
      </c>
      <c r="C2677" s="3">
        <v>96</v>
      </c>
      <c r="D2677" s="3">
        <f>C2677-B2677</f>
        <v>0</v>
      </c>
    </row>
    <row r="2678" spans="1:4">
      <c r="A2678" s="12">
        <v>46140</v>
      </c>
      <c r="B2678" s="3">
        <v>96</v>
      </c>
      <c r="C2678" s="3">
        <v>96</v>
      </c>
      <c r="D2678" s="3">
        <f>C2678-B2678</f>
        <v>0</v>
      </c>
    </row>
    <row r="2679" spans="1:4">
      <c r="A2679" s="12">
        <v>46141</v>
      </c>
      <c r="B2679" s="3">
        <v>96</v>
      </c>
      <c r="C2679" s="3">
        <v>96</v>
      </c>
      <c r="D2679" s="3">
        <f>C2679-B2679</f>
        <v>0</v>
      </c>
    </row>
    <row r="2680" spans="1:4">
      <c r="A2680" s="12">
        <v>46142</v>
      </c>
      <c r="B2680" s="3">
        <v>96</v>
      </c>
      <c r="C2680" s="3">
        <v>96</v>
      </c>
      <c r="D2680" s="3">
        <f>C2680-B2680</f>
        <v>0</v>
      </c>
    </row>
    <row r="2681" spans="1:4">
      <c r="A2681" s="12">
        <v>46143</v>
      </c>
      <c r="B2681" s="3">
        <v>96</v>
      </c>
      <c r="C2681" s="3">
        <v>96</v>
      </c>
      <c r="D2681" s="3">
        <f>C2681-B2681</f>
        <v>0</v>
      </c>
    </row>
    <row r="2682" spans="1:4">
      <c r="A2682" s="12">
        <v>46144</v>
      </c>
      <c r="B2682" s="3">
        <v>96</v>
      </c>
      <c r="C2682" s="3">
        <v>96</v>
      </c>
      <c r="D2682" s="3">
        <f>C2682-B2682</f>
        <v>0</v>
      </c>
    </row>
    <row r="2683" spans="1:4">
      <c r="A2683" s="12">
        <v>46145</v>
      </c>
      <c r="B2683" s="3">
        <v>96</v>
      </c>
      <c r="C2683" s="3">
        <v>96</v>
      </c>
      <c r="D2683" s="3">
        <f>C2683-B2683</f>
        <v>0</v>
      </c>
    </row>
    <row r="2684" spans="1:4">
      <c r="A2684" s="12">
        <v>46146</v>
      </c>
      <c r="B2684" s="3">
        <v>96</v>
      </c>
      <c r="C2684" s="3">
        <v>96</v>
      </c>
      <c r="D2684" s="3">
        <f>C2684-B2684</f>
        <v>0</v>
      </c>
    </row>
    <row r="2685" spans="1:4">
      <c r="A2685" s="12">
        <v>46147</v>
      </c>
      <c r="B2685" s="3">
        <v>96</v>
      </c>
      <c r="C2685" s="3">
        <v>96</v>
      </c>
      <c r="D2685" s="3">
        <f>C2685-B2685</f>
        <v>0</v>
      </c>
    </row>
    <row r="2686" spans="1:4">
      <c r="A2686" s="12">
        <v>46148</v>
      </c>
      <c r="B2686" s="3">
        <v>96</v>
      </c>
      <c r="C2686" s="3">
        <v>96</v>
      </c>
      <c r="D2686" s="3">
        <f>C2686-B2686</f>
        <v>0</v>
      </c>
    </row>
    <row r="2687" spans="1:4">
      <c r="A2687" s="12">
        <v>46149</v>
      </c>
      <c r="B2687" s="3">
        <v>96</v>
      </c>
      <c r="C2687" s="3">
        <v>96</v>
      </c>
      <c r="D2687" s="3">
        <f>C2687-B2687</f>
        <v>0</v>
      </c>
    </row>
    <row r="2688" spans="1:4">
      <c r="A2688" s="12">
        <v>46150</v>
      </c>
      <c r="B2688" s="3">
        <v>96</v>
      </c>
      <c r="C2688" s="3">
        <v>96</v>
      </c>
      <c r="D2688" s="3">
        <f>C2688-B2688</f>
        <v>0</v>
      </c>
    </row>
    <row r="2689" spans="1:4">
      <c r="A2689" s="12">
        <v>46151</v>
      </c>
      <c r="B2689" s="3">
        <v>96</v>
      </c>
      <c r="C2689" s="3">
        <v>96</v>
      </c>
      <c r="D2689" s="3">
        <f>C2689-B2689</f>
        <v>0</v>
      </c>
    </row>
    <row r="2690" spans="1:4">
      <c r="A2690" s="12">
        <v>46152</v>
      </c>
      <c r="B2690" s="3">
        <v>96</v>
      </c>
      <c r="C2690" s="3">
        <v>96</v>
      </c>
      <c r="D2690" s="3">
        <f>C2690-B2690</f>
        <v>0</v>
      </c>
    </row>
    <row r="2691" spans="1:4">
      <c r="A2691" s="12">
        <v>46153</v>
      </c>
      <c r="B2691" s="3">
        <v>96</v>
      </c>
      <c r="C2691" s="3">
        <v>96</v>
      </c>
      <c r="D2691" s="3">
        <f>C2691-B2691</f>
        <v>0</v>
      </c>
    </row>
    <row r="2692" spans="1:4">
      <c r="A2692" s="12">
        <v>46154</v>
      </c>
      <c r="B2692" s="3">
        <v>96</v>
      </c>
      <c r="C2692" s="3">
        <v>96</v>
      </c>
      <c r="D2692" s="3">
        <f>C2692-B2692</f>
        <v>0</v>
      </c>
    </row>
    <row r="2693" spans="1:4">
      <c r="A2693" s="12">
        <v>46155</v>
      </c>
      <c r="B2693" s="3">
        <v>96</v>
      </c>
      <c r="C2693" s="3">
        <v>96</v>
      </c>
      <c r="D2693" s="3">
        <f>C2693-B2693</f>
        <v>0</v>
      </c>
    </row>
    <row r="2694" spans="1:4">
      <c r="A2694" s="12">
        <v>46156</v>
      </c>
      <c r="B2694" s="3">
        <v>96</v>
      </c>
      <c r="C2694" s="3">
        <v>96</v>
      </c>
      <c r="D2694" s="3">
        <f>C2694-B2694</f>
        <v>0</v>
      </c>
    </row>
    <row r="2695" spans="1:4">
      <c r="A2695" s="12">
        <v>46157</v>
      </c>
      <c r="B2695" s="3">
        <v>96</v>
      </c>
      <c r="C2695" s="3">
        <v>96</v>
      </c>
      <c r="D2695" s="3">
        <f>C2695-B2695</f>
        <v>0</v>
      </c>
    </row>
    <row r="2696" spans="1:4">
      <c r="A2696" s="12">
        <v>46158</v>
      </c>
      <c r="B2696" s="3">
        <v>96</v>
      </c>
      <c r="C2696" s="3">
        <v>96</v>
      </c>
      <c r="D2696" s="3">
        <f>C2696-B2696</f>
        <v>0</v>
      </c>
    </row>
    <row r="2697" spans="1:4">
      <c r="A2697" s="12">
        <v>46159</v>
      </c>
      <c r="B2697" s="3">
        <v>96</v>
      </c>
      <c r="C2697" s="3">
        <v>96</v>
      </c>
      <c r="D2697" s="3">
        <f>C2697-B2697</f>
        <v>0</v>
      </c>
    </row>
    <row r="2698" spans="1:4">
      <c r="A2698" s="12">
        <v>46160</v>
      </c>
      <c r="B2698" s="3">
        <v>96</v>
      </c>
      <c r="C2698" s="3">
        <v>96</v>
      </c>
      <c r="D2698" s="3">
        <f>C2698-B2698</f>
        <v>0</v>
      </c>
    </row>
    <row r="2699" spans="1:4">
      <c r="A2699" s="12">
        <v>46161</v>
      </c>
      <c r="B2699" s="3">
        <v>96</v>
      </c>
      <c r="C2699" s="3">
        <v>96</v>
      </c>
      <c r="D2699" s="3">
        <f>C2699-B2699</f>
        <v>0</v>
      </c>
    </row>
    <row r="2700" spans="1:4">
      <c r="A2700" s="12">
        <v>46162</v>
      </c>
      <c r="B2700" s="3">
        <v>96</v>
      </c>
      <c r="C2700" s="3">
        <v>96</v>
      </c>
      <c r="D2700" s="3">
        <f>C2700-B2700</f>
        <v>0</v>
      </c>
    </row>
    <row r="2701" spans="1:4">
      <c r="A2701" s="12">
        <v>46163</v>
      </c>
      <c r="B2701" s="3">
        <v>96</v>
      </c>
      <c r="C2701" s="3">
        <v>96</v>
      </c>
      <c r="D2701" s="3">
        <f>C2701-B2701</f>
        <v>0</v>
      </c>
    </row>
    <row r="2702" spans="1:4">
      <c r="A2702" s="12">
        <v>46164</v>
      </c>
      <c r="B2702" s="3">
        <v>96</v>
      </c>
      <c r="C2702" s="3">
        <v>96</v>
      </c>
      <c r="D2702" s="3">
        <f>C2702-B2702</f>
        <v>0</v>
      </c>
    </row>
    <row r="2703" spans="1:4">
      <c r="A2703" s="12">
        <v>46165</v>
      </c>
      <c r="B2703" s="3">
        <v>96</v>
      </c>
      <c r="C2703" s="3">
        <v>96</v>
      </c>
      <c r="D2703" s="3">
        <f>C2703-B2703</f>
        <v>0</v>
      </c>
    </row>
    <row r="2704" spans="1:4">
      <c r="A2704" s="12">
        <v>46166</v>
      </c>
      <c r="B2704" s="3">
        <v>96</v>
      </c>
      <c r="C2704" s="3">
        <v>96</v>
      </c>
      <c r="D2704" s="3">
        <f>C2704-B2704</f>
        <v>0</v>
      </c>
    </row>
    <row r="2705" spans="1:4">
      <c r="A2705" s="12">
        <v>46167</v>
      </c>
      <c r="B2705" s="3">
        <v>96</v>
      </c>
      <c r="C2705" s="3">
        <v>96</v>
      </c>
      <c r="D2705" s="3">
        <f>C2705-B2705</f>
        <v>0</v>
      </c>
    </row>
    <row r="2706" spans="1:4">
      <c r="A2706" s="12">
        <v>46168</v>
      </c>
      <c r="B2706" s="3">
        <v>96</v>
      </c>
      <c r="C2706" s="3">
        <v>96</v>
      </c>
      <c r="D2706" s="3">
        <f>C2706-B2706</f>
        <v>0</v>
      </c>
    </row>
    <row r="2707" spans="1:4">
      <c r="A2707" s="12">
        <v>46169</v>
      </c>
      <c r="B2707" s="3">
        <v>96</v>
      </c>
      <c r="C2707" s="3">
        <v>96</v>
      </c>
      <c r="D2707" s="3">
        <f>C2707-B2707</f>
        <v>0</v>
      </c>
    </row>
    <row r="2708" spans="1:4">
      <c r="A2708" s="12">
        <v>46170</v>
      </c>
      <c r="B2708" s="3">
        <v>96</v>
      </c>
      <c r="C2708" s="3">
        <v>96</v>
      </c>
      <c r="D2708" s="3">
        <f>C2708-B2708</f>
        <v>0</v>
      </c>
    </row>
    <row r="2709" spans="1:4">
      <c r="A2709" s="12">
        <v>46171</v>
      </c>
      <c r="B2709" s="3">
        <v>96</v>
      </c>
      <c r="C2709" s="3">
        <v>96</v>
      </c>
      <c r="D2709" s="3">
        <f>C2709-B2709</f>
        <v>0</v>
      </c>
    </row>
    <row r="2710" spans="1:4">
      <c r="A2710" s="12">
        <v>46172</v>
      </c>
      <c r="B2710" s="3">
        <v>96</v>
      </c>
      <c r="C2710" s="3">
        <v>96</v>
      </c>
      <c r="D2710" s="3">
        <f>C2710-B2710</f>
        <v>0</v>
      </c>
    </row>
    <row r="2711" spans="1:4">
      <c r="A2711" s="12">
        <v>46173</v>
      </c>
      <c r="B2711" s="3">
        <v>96</v>
      </c>
      <c r="C2711" s="3">
        <v>96</v>
      </c>
      <c r="D2711" s="3">
        <f>C2711-B2711</f>
        <v>0</v>
      </c>
    </row>
    <row r="2712" spans="1:4">
      <c r="A2712" s="12">
        <v>46174</v>
      </c>
      <c r="B2712" s="3">
        <v>96</v>
      </c>
      <c r="C2712" s="3">
        <v>96</v>
      </c>
      <c r="D2712" s="3">
        <f>C2712-B2712</f>
        <v>0</v>
      </c>
    </row>
    <row r="2713" spans="1:4">
      <c r="A2713" s="12">
        <v>46175</v>
      </c>
      <c r="B2713" s="3">
        <v>96</v>
      </c>
      <c r="C2713" s="3">
        <v>96</v>
      </c>
      <c r="D2713" s="3">
        <f>C2713-B2713</f>
        <v>0</v>
      </c>
    </row>
    <row r="2714" spans="1:4">
      <c r="A2714" s="12">
        <v>46176</v>
      </c>
      <c r="B2714" s="3">
        <v>96</v>
      </c>
      <c r="C2714" s="3">
        <v>96</v>
      </c>
      <c r="D2714" s="3">
        <f>C2714-B2714</f>
        <v>0</v>
      </c>
    </row>
    <row r="2715" spans="1:4">
      <c r="A2715" s="12">
        <v>46177</v>
      </c>
      <c r="B2715" s="3">
        <v>96</v>
      </c>
      <c r="C2715" s="3">
        <v>96</v>
      </c>
      <c r="D2715" s="3">
        <f>C2715-B2715</f>
        <v>0</v>
      </c>
    </row>
    <row r="2716" spans="1:4">
      <c r="A2716" s="12">
        <v>46178</v>
      </c>
      <c r="B2716" s="3">
        <v>96</v>
      </c>
      <c r="C2716" s="3">
        <v>96</v>
      </c>
      <c r="D2716" s="3">
        <f>C2716-B2716</f>
        <v>0</v>
      </c>
    </row>
    <row r="2717" spans="1:4">
      <c r="A2717" s="12">
        <v>46179</v>
      </c>
      <c r="B2717" s="3">
        <v>96</v>
      </c>
      <c r="C2717" s="3">
        <v>96</v>
      </c>
      <c r="D2717" s="3">
        <f>C2717-B2717</f>
        <v>0</v>
      </c>
    </row>
    <row r="2718" spans="1:4">
      <c r="A2718" s="12">
        <v>46180</v>
      </c>
      <c r="B2718" s="3">
        <v>96</v>
      </c>
      <c r="C2718" s="3">
        <v>96</v>
      </c>
      <c r="D2718" s="3">
        <f>C2718-B2718</f>
        <v>0</v>
      </c>
    </row>
    <row r="2719" spans="1:4">
      <c r="A2719" s="12">
        <v>46181</v>
      </c>
      <c r="B2719" s="3">
        <v>96</v>
      </c>
      <c r="C2719" s="3">
        <v>96</v>
      </c>
      <c r="D2719" s="3">
        <f>C2719-B2719</f>
        <v>0</v>
      </c>
    </row>
    <row r="2720" spans="1:4">
      <c r="A2720" s="12">
        <v>46182</v>
      </c>
      <c r="B2720" s="3">
        <v>96</v>
      </c>
      <c r="C2720" s="3">
        <v>96</v>
      </c>
      <c r="D2720" s="3">
        <f>C2720-B2720</f>
        <v>0</v>
      </c>
    </row>
    <row r="2721" spans="1:4">
      <c r="A2721" s="12">
        <v>46183</v>
      </c>
      <c r="B2721" s="3">
        <v>96</v>
      </c>
      <c r="C2721" s="3">
        <v>96</v>
      </c>
      <c r="D2721" s="3">
        <f>C2721-B2721</f>
        <v>0</v>
      </c>
    </row>
    <row r="2722" spans="1:4">
      <c r="A2722" s="12">
        <v>46184</v>
      </c>
      <c r="B2722" s="3">
        <v>96</v>
      </c>
      <c r="C2722" s="3">
        <v>96</v>
      </c>
      <c r="D2722" s="3">
        <f>C2722-B2722</f>
        <v>0</v>
      </c>
    </row>
    <row r="2723" spans="1:4">
      <c r="A2723" s="12">
        <v>46185</v>
      </c>
      <c r="B2723" s="3">
        <v>96</v>
      </c>
      <c r="C2723" s="3">
        <v>96</v>
      </c>
      <c r="D2723" s="3">
        <f>C2723-B2723</f>
        <v>0</v>
      </c>
    </row>
    <row r="2724" spans="1:4">
      <c r="A2724" s="12">
        <v>46186</v>
      </c>
      <c r="B2724" s="3">
        <v>96</v>
      </c>
      <c r="C2724" s="3">
        <v>96</v>
      </c>
      <c r="D2724" s="3">
        <f>C2724-B2724</f>
        <v>0</v>
      </c>
    </row>
    <row r="2725" spans="1:4">
      <c r="A2725" s="12">
        <v>46187</v>
      </c>
      <c r="B2725" s="3">
        <v>96</v>
      </c>
      <c r="C2725" s="3">
        <v>96</v>
      </c>
      <c r="D2725" s="3">
        <f>C2725-B2725</f>
        <v>0</v>
      </c>
    </row>
    <row r="2726" spans="1:4">
      <c r="A2726" s="12">
        <v>46188</v>
      </c>
      <c r="B2726" s="3">
        <v>96</v>
      </c>
      <c r="C2726" s="3">
        <v>96</v>
      </c>
      <c r="D2726" s="3">
        <f>C2726-B2726</f>
        <v>0</v>
      </c>
    </row>
    <row r="2727" spans="1:4">
      <c r="A2727" s="12">
        <v>46189</v>
      </c>
      <c r="B2727" s="3">
        <v>96</v>
      </c>
      <c r="C2727" s="3">
        <v>96</v>
      </c>
      <c r="D2727" s="3">
        <f>C2727-B2727</f>
        <v>0</v>
      </c>
    </row>
    <row r="2728" spans="1:4">
      <c r="A2728" s="12">
        <v>46190</v>
      </c>
      <c r="B2728" s="3">
        <v>96</v>
      </c>
      <c r="C2728" s="3">
        <v>96</v>
      </c>
      <c r="D2728" s="3">
        <f>C2728-B2728</f>
        <v>0</v>
      </c>
    </row>
    <row r="2729" spans="1:4">
      <c r="A2729" s="12">
        <v>46191</v>
      </c>
      <c r="B2729" s="3">
        <v>96</v>
      </c>
      <c r="C2729" s="3">
        <v>96</v>
      </c>
      <c r="D2729" s="3">
        <f>C2729-B2729</f>
        <v>0</v>
      </c>
    </row>
    <row r="2730" spans="1:4">
      <c r="A2730" s="12">
        <v>46192</v>
      </c>
      <c r="B2730" s="3">
        <v>96</v>
      </c>
      <c r="C2730" s="3">
        <v>96</v>
      </c>
      <c r="D2730" s="3">
        <f>C2730-B2730</f>
        <v>0</v>
      </c>
    </row>
    <row r="2731" spans="1:4">
      <c r="A2731" s="12">
        <v>46193</v>
      </c>
      <c r="B2731" s="3">
        <v>96</v>
      </c>
      <c r="C2731" s="3">
        <v>96</v>
      </c>
      <c r="D2731" s="3">
        <f>C2731-B2731</f>
        <v>0</v>
      </c>
    </row>
    <row r="2732" spans="1:4">
      <c r="A2732" s="12">
        <v>46194</v>
      </c>
      <c r="B2732" s="3">
        <v>96</v>
      </c>
      <c r="C2732" s="3">
        <v>96</v>
      </c>
      <c r="D2732" s="3">
        <f>C2732-B2732</f>
        <v>0</v>
      </c>
    </row>
    <row r="2733" spans="1:4">
      <c r="A2733" s="12">
        <v>46195</v>
      </c>
      <c r="B2733" s="3">
        <v>96</v>
      </c>
      <c r="C2733" s="3">
        <v>96</v>
      </c>
      <c r="D2733" s="3">
        <f>C2733-B2733</f>
        <v>0</v>
      </c>
    </row>
    <row r="2734" spans="1:4">
      <c r="A2734" s="12">
        <v>46196</v>
      </c>
      <c r="B2734" s="3">
        <v>96</v>
      </c>
      <c r="C2734" s="3">
        <v>96</v>
      </c>
      <c r="D2734" s="3">
        <f>C2734-B2734</f>
        <v>0</v>
      </c>
    </row>
    <row r="2735" spans="1:4">
      <c r="A2735" s="12">
        <v>46197</v>
      </c>
      <c r="B2735" s="3">
        <v>96</v>
      </c>
      <c r="C2735" s="3">
        <v>96</v>
      </c>
      <c r="D2735" s="3">
        <f>C2735-B2735</f>
        <v>0</v>
      </c>
    </row>
    <row r="2736" spans="1:4">
      <c r="A2736" s="12">
        <v>46198</v>
      </c>
      <c r="B2736" s="3">
        <v>96</v>
      </c>
      <c r="C2736" s="3">
        <v>96</v>
      </c>
      <c r="D2736" s="3">
        <f>C2736-B2736</f>
        <v>0</v>
      </c>
    </row>
    <row r="2737" spans="1:4">
      <c r="A2737" s="12">
        <v>46199</v>
      </c>
      <c r="B2737" s="3">
        <v>96</v>
      </c>
      <c r="C2737" s="3">
        <v>96</v>
      </c>
      <c r="D2737" s="3">
        <f>C2737-B2737</f>
        <v>0</v>
      </c>
    </row>
    <row r="2738" spans="1:4">
      <c r="A2738" s="12">
        <v>46200</v>
      </c>
      <c r="B2738" s="3">
        <v>96</v>
      </c>
      <c r="C2738" s="3">
        <v>96</v>
      </c>
      <c r="D2738" s="3">
        <f>C2738-B2738</f>
        <v>0</v>
      </c>
    </row>
    <row r="2739" spans="1:4">
      <c r="A2739" s="12">
        <v>46201</v>
      </c>
      <c r="B2739" s="3">
        <v>96</v>
      </c>
      <c r="C2739" s="3">
        <v>96</v>
      </c>
      <c r="D2739" s="3">
        <f>C2739-B2739</f>
        <v>0</v>
      </c>
    </row>
    <row r="2740" spans="1:4">
      <c r="A2740" s="12">
        <v>46202</v>
      </c>
      <c r="B2740" s="3">
        <v>96</v>
      </c>
      <c r="C2740" s="3">
        <v>96</v>
      </c>
      <c r="D2740" s="3">
        <f>C2740-B2740</f>
        <v>0</v>
      </c>
    </row>
    <row r="2741" spans="1:4">
      <c r="A2741" s="12">
        <v>46203</v>
      </c>
      <c r="B2741" s="3">
        <v>96</v>
      </c>
      <c r="C2741" s="3">
        <v>96</v>
      </c>
      <c r="D2741" s="3">
        <f>C2741-B2741</f>
        <v>0</v>
      </c>
    </row>
    <row r="2742" spans="1:4">
      <c r="A2742" s="12">
        <v>46204</v>
      </c>
      <c r="B2742" s="3">
        <v>96</v>
      </c>
      <c r="C2742" s="3">
        <v>96</v>
      </c>
      <c r="D2742" s="3">
        <f>C2742-B2742</f>
        <v>0</v>
      </c>
    </row>
    <row r="2743" spans="1:4">
      <c r="A2743" s="12">
        <v>46205</v>
      </c>
      <c r="B2743" s="3">
        <v>96</v>
      </c>
      <c r="C2743" s="3">
        <v>96</v>
      </c>
      <c r="D2743" s="3">
        <f>C2743-B2743</f>
        <v>0</v>
      </c>
    </row>
    <row r="2744" spans="1:4">
      <c r="A2744" s="12">
        <v>46206</v>
      </c>
      <c r="B2744" s="3">
        <v>96</v>
      </c>
      <c r="C2744" s="3">
        <v>96</v>
      </c>
      <c r="D2744" s="3">
        <f>C2744-B2744</f>
        <v>0</v>
      </c>
    </row>
    <row r="2745" spans="1:4">
      <c r="A2745" s="12">
        <v>46207</v>
      </c>
      <c r="B2745" s="3">
        <v>96</v>
      </c>
      <c r="C2745" s="3">
        <v>96</v>
      </c>
      <c r="D2745" s="3">
        <f>C2745-B2745</f>
        <v>0</v>
      </c>
    </row>
    <row r="2746" spans="1:4">
      <c r="A2746" s="12">
        <v>46208</v>
      </c>
      <c r="B2746" s="3">
        <v>96</v>
      </c>
      <c r="C2746" s="3">
        <v>96</v>
      </c>
      <c r="D2746" s="3">
        <f>C2746-B2746</f>
        <v>0</v>
      </c>
    </row>
    <row r="2747" spans="1:4">
      <c r="A2747" s="12">
        <v>46209</v>
      </c>
      <c r="B2747" s="3">
        <v>96</v>
      </c>
      <c r="C2747" s="3">
        <v>96</v>
      </c>
      <c r="D2747" s="3">
        <f>C2747-B2747</f>
        <v>0</v>
      </c>
    </row>
    <row r="2748" spans="1:4">
      <c r="A2748" s="12">
        <v>46210</v>
      </c>
      <c r="B2748" s="3">
        <v>96</v>
      </c>
      <c r="C2748" s="3">
        <v>96</v>
      </c>
      <c r="D2748" s="3">
        <f>C2748-B2748</f>
        <v>0</v>
      </c>
    </row>
    <row r="2749" spans="1:4">
      <c r="A2749" s="12">
        <v>46211</v>
      </c>
      <c r="B2749" s="3">
        <v>96</v>
      </c>
      <c r="C2749" s="3">
        <v>96</v>
      </c>
      <c r="D2749" s="3">
        <f>C2749-B2749</f>
        <v>0</v>
      </c>
    </row>
    <row r="2750" spans="1:4">
      <c r="A2750" s="12">
        <v>46212</v>
      </c>
      <c r="B2750" s="3">
        <v>96</v>
      </c>
      <c r="C2750" s="3">
        <v>96</v>
      </c>
      <c r="D2750" s="3">
        <f>C2750-B2750</f>
        <v>0</v>
      </c>
    </row>
    <row r="2751" spans="1:4">
      <c r="A2751" s="12">
        <v>46213</v>
      </c>
      <c r="B2751" s="3">
        <v>96</v>
      </c>
      <c r="C2751" s="3">
        <v>96</v>
      </c>
      <c r="D2751" s="3">
        <f>C2751-B2751</f>
        <v>0</v>
      </c>
    </row>
    <row r="2752" spans="1:4">
      <c r="A2752" s="12">
        <v>46214</v>
      </c>
      <c r="B2752" s="3">
        <v>96</v>
      </c>
      <c r="C2752" s="3">
        <v>96</v>
      </c>
      <c r="D2752" s="3">
        <f>C2752-B2752</f>
        <v>0</v>
      </c>
    </row>
    <row r="2753" spans="1:4">
      <c r="A2753" s="12">
        <v>46215</v>
      </c>
      <c r="B2753" s="3">
        <v>96</v>
      </c>
      <c r="C2753" s="3">
        <v>96</v>
      </c>
      <c r="D2753" s="3">
        <f>C2753-B2753</f>
        <v>0</v>
      </c>
    </row>
    <row r="2754" spans="1:4">
      <c r="A2754" s="12">
        <v>46216</v>
      </c>
      <c r="B2754" s="3">
        <v>96</v>
      </c>
      <c r="C2754" s="3">
        <v>96</v>
      </c>
      <c r="D2754" s="3">
        <f>C2754-B2754</f>
        <v>0</v>
      </c>
    </row>
    <row r="2755" spans="1:4">
      <c r="A2755" s="12">
        <v>46217</v>
      </c>
      <c r="B2755" s="3">
        <v>96</v>
      </c>
      <c r="C2755" s="3">
        <v>96</v>
      </c>
      <c r="D2755" s="3">
        <f>C2755-B2755</f>
        <v>0</v>
      </c>
    </row>
    <row r="2756" spans="1:4">
      <c r="A2756" s="12">
        <v>46218</v>
      </c>
      <c r="B2756" s="3">
        <v>96</v>
      </c>
      <c r="C2756" s="3">
        <v>96</v>
      </c>
      <c r="D2756" s="3">
        <f>C2756-B2756</f>
        <v>0</v>
      </c>
    </row>
    <row r="2757" spans="1:4">
      <c r="A2757" s="12">
        <v>46219</v>
      </c>
      <c r="B2757" s="3">
        <v>96</v>
      </c>
      <c r="C2757" s="3">
        <v>96</v>
      </c>
      <c r="D2757" s="3">
        <f>C2757-B2757</f>
        <v>0</v>
      </c>
    </row>
    <row r="2758" spans="1:4">
      <c r="A2758" s="12">
        <v>46220</v>
      </c>
      <c r="B2758" s="3">
        <v>96</v>
      </c>
      <c r="C2758" s="3">
        <v>96</v>
      </c>
      <c r="D2758" s="3">
        <f>C2758-B2758</f>
        <v>0</v>
      </c>
    </row>
    <row r="2759" spans="1:4">
      <c r="A2759" s="12">
        <v>46221</v>
      </c>
      <c r="B2759" s="3">
        <v>96</v>
      </c>
      <c r="C2759" s="3">
        <v>96</v>
      </c>
      <c r="D2759" s="3">
        <f>C2759-B2759</f>
        <v>0</v>
      </c>
    </row>
    <row r="2760" spans="1:4">
      <c r="A2760" s="12">
        <v>46222</v>
      </c>
      <c r="B2760" s="3">
        <v>96</v>
      </c>
      <c r="C2760" s="3">
        <v>96</v>
      </c>
      <c r="D2760" s="3">
        <f>C2760-B2760</f>
        <v>0</v>
      </c>
    </row>
    <row r="2761" spans="1:4">
      <c r="A2761" s="12">
        <v>46223</v>
      </c>
      <c r="B2761" s="3">
        <v>96</v>
      </c>
      <c r="C2761" s="3">
        <v>96</v>
      </c>
      <c r="D2761" s="3">
        <f>C2761-B2761</f>
        <v>0</v>
      </c>
    </row>
    <row r="2762" spans="1:4">
      <c r="A2762" s="12">
        <v>46224</v>
      </c>
      <c r="B2762" s="3">
        <v>96</v>
      </c>
      <c r="C2762" s="3">
        <v>96</v>
      </c>
      <c r="D2762" s="3">
        <f>C2762-B2762</f>
        <v>0</v>
      </c>
    </row>
    <row r="2763" spans="1:4">
      <c r="A2763" s="12">
        <v>46225</v>
      </c>
      <c r="B2763" s="3">
        <v>96</v>
      </c>
      <c r="C2763" s="3">
        <v>96</v>
      </c>
      <c r="D2763" s="3">
        <f>C2763-B2763</f>
        <v>0</v>
      </c>
    </row>
    <row r="2764" spans="1:4">
      <c r="A2764" s="12">
        <v>46226</v>
      </c>
      <c r="B2764" s="3">
        <v>96</v>
      </c>
      <c r="C2764" s="3">
        <v>96</v>
      </c>
      <c r="D2764" s="3">
        <f>C2764-B2764</f>
        <v>0</v>
      </c>
    </row>
    <row r="2765" spans="1:4">
      <c r="A2765" s="12">
        <v>46227</v>
      </c>
      <c r="B2765" s="3">
        <v>96</v>
      </c>
      <c r="C2765" s="3">
        <v>96</v>
      </c>
      <c r="D2765" s="3">
        <f>C2765-B2765</f>
        <v>0</v>
      </c>
    </row>
    <row r="2766" spans="1:4">
      <c r="A2766" s="12">
        <v>46228</v>
      </c>
      <c r="B2766" s="3">
        <v>96</v>
      </c>
      <c r="C2766" s="3">
        <v>96</v>
      </c>
      <c r="D2766" s="3">
        <f>C2766-B2766</f>
        <v>0</v>
      </c>
    </row>
    <row r="2767" spans="1:4">
      <c r="A2767" s="12">
        <v>46229</v>
      </c>
      <c r="B2767" s="3">
        <v>96</v>
      </c>
      <c r="C2767" s="3">
        <v>96</v>
      </c>
      <c r="D2767" s="3">
        <f>C2767-B2767</f>
        <v>0</v>
      </c>
    </row>
    <row r="2768" spans="1:4">
      <c r="A2768" s="12">
        <v>46230</v>
      </c>
      <c r="B2768" s="3">
        <v>96</v>
      </c>
      <c r="C2768" s="3">
        <v>96</v>
      </c>
      <c r="D2768" s="3">
        <f>C2768-B2768</f>
        <v>0</v>
      </c>
    </row>
    <row r="2769" spans="1:4">
      <c r="A2769" s="12">
        <v>46231</v>
      </c>
      <c r="B2769" s="3">
        <v>96</v>
      </c>
      <c r="C2769" s="3">
        <v>96</v>
      </c>
      <c r="D2769" s="3">
        <f>C2769-B2769</f>
        <v>0</v>
      </c>
    </row>
    <row r="2770" spans="1:4">
      <c r="A2770" s="12">
        <v>46232</v>
      </c>
      <c r="B2770" s="3">
        <v>96</v>
      </c>
      <c r="C2770" s="3">
        <v>96</v>
      </c>
      <c r="D2770" s="3">
        <f>C2770-B2770</f>
        <v>0</v>
      </c>
    </row>
    <row r="2771" spans="1:4">
      <c r="A2771" s="12">
        <v>46233</v>
      </c>
      <c r="B2771" s="3">
        <v>96</v>
      </c>
      <c r="C2771" s="3">
        <v>96</v>
      </c>
      <c r="D2771" s="3">
        <f>C2771-B2771</f>
        <v>0</v>
      </c>
    </row>
    <row r="2772" spans="1:4">
      <c r="A2772" s="12">
        <v>46234</v>
      </c>
      <c r="B2772" s="3">
        <v>96</v>
      </c>
      <c r="C2772" s="3">
        <v>96</v>
      </c>
      <c r="D2772" s="3">
        <f>C2772-B2772</f>
        <v>0</v>
      </c>
    </row>
    <row r="2773" spans="1:4">
      <c r="A2773" s="12">
        <v>46235</v>
      </c>
      <c r="B2773" s="3">
        <v>96</v>
      </c>
      <c r="C2773" s="3">
        <v>96</v>
      </c>
      <c r="D2773" s="3">
        <f>C2773-B2773</f>
        <v>0</v>
      </c>
    </row>
    <row r="2774" spans="1:4">
      <c r="A2774" s="12">
        <v>46236</v>
      </c>
      <c r="B2774" s="3">
        <v>96</v>
      </c>
      <c r="C2774" s="3">
        <v>96</v>
      </c>
      <c r="D2774" s="3">
        <f>C2774-B2774</f>
        <v>0</v>
      </c>
    </row>
    <row r="2775" spans="1:4">
      <c r="A2775" s="12">
        <v>46237</v>
      </c>
      <c r="B2775" s="3">
        <v>96</v>
      </c>
      <c r="C2775" s="3">
        <v>96</v>
      </c>
      <c r="D2775" s="3">
        <f>C2775-B2775</f>
        <v>0</v>
      </c>
    </row>
    <row r="2776" spans="1:4">
      <c r="A2776" s="12">
        <v>46238</v>
      </c>
      <c r="B2776" s="3">
        <v>96</v>
      </c>
      <c r="C2776" s="3">
        <v>96</v>
      </c>
      <c r="D2776" s="3">
        <f>C2776-B2776</f>
        <v>0</v>
      </c>
    </row>
    <row r="2777" spans="1:4">
      <c r="A2777" s="12">
        <v>46239</v>
      </c>
      <c r="B2777" s="3">
        <v>96</v>
      </c>
      <c r="C2777" s="3">
        <v>96</v>
      </c>
      <c r="D2777" s="3">
        <f>C2777-B2777</f>
        <v>0</v>
      </c>
    </row>
    <row r="2778" spans="1:4">
      <c r="A2778" s="12">
        <v>46240</v>
      </c>
      <c r="B2778" s="3">
        <v>96</v>
      </c>
      <c r="C2778" s="3">
        <v>96</v>
      </c>
      <c r="D2778" s="3">
        <f>C2778-B2778</f>
        <v>0</v>
      </c>
    </row>
    <row r="2779" spans="1:4">
      <c r="A2779" s="12">
        <v>46241</v>
      </c>
      <c r="B2779" s="3">
        <v>96</v>
      </c>
      <c r="C2779" s="3">
        <v>96</v>
      </c>
      <c r="D2779" s="3">
        <f>C2779-B2779</f>
        <v>0</v>
      </c>
    </row>
    <row r="2780" spans="1:4">
      <c r="A2780" s="12">
        <v>46242</v>
      </c>
      <c r="B2780" s="3">
        <v>96</v>
      </c>
      <c r="C2780" s="3">
        <v>96</v>
      </c>
      <c r="D2780" s="3">
        <f>C2780-B2780</f>
        <v>0</v>
      </c>
    </row>
    <row r="2781" spans="1:4">
      <c r="A2781" s="12">
        <v>46243</v>
      </c>
      <c r="B2781" s="3">
        <v>96</v>
      </c>
      <c r="C2781" s="3">
        <v>96</v>
      </c>
      <c r="D2781" s="3">
        <f>C2781-B2781</f>
        <v>0</v>
      </c>
    </row>
    <row r="2782" spans="1:4">
      <c r="A2782" s="12">
        <v>46244</v>
      </c>
      <c r="B2782" s="3">
        <v>96</v>
      </c>
      <c r="C2782" s="3">
        <v>96</v>
      </c>
      <c r="D2782" s="3">
        <f>C2782-B2782</f>
        <v>0</v>
      </c>
    </row>
    <row r="2783" spans="1:4">
      <c r="A2783" s="12">
        <v>46245</v>
      </c>
      <c r="B2783" s="3">
        <v>96</v>
      </c>
      <c r="C2783" s="3">
        <v>96</v>
      </c>
      <c r="D2783" s="3">
        <f>C2783-B2783</f>
        <v>0</v>
      </c>
    </row>
    <row r="2784" spans="1:4">
      <c r="A2784" s="12">
        <v>46246</v>
      </c>
      <c r="B2784" s="3">
        <v>96</v>
      </c>
      <c r="C2784" s="3">
        <v>96</v>
      </c>
      <c r="D2784" s="3">
        <f>C2784-B2784</f>
        <v>0</v>
      </c>
    </row>
    <row r="2785" spans="1:4">
      <c r="A2785" s="12">
        <v>46247</v>
      </c>
      <c r="B2785" s="3">
        <v>96</v>
      </c>
      <c r="C2785" s="3">
        <v>96</v>
      </c>
      <c r="D2785" s="3">
        <f>C2785-B2785</f>
        <v>0</v>
      </c>
    </row>
    <row r="2786" spans="1:4">
      <c r="A2786" s="12">
        <v>46248</v>
      </c>
      <c r="B2786" s="3">
        <v>96</v>
      </c>
      <c r="C2786" s="3">
        <v>96</v>
      </c>
      <c r="D2786" s="3">
        <f>C2786-B2786</f>
        <v>0</v>
      </c>
    </row>
    <row r="2787" spans="1:4">
      <c r="A2787" s="12">
        <v>46249</v>
      </c>
      <c r="B2787" s="3">
        <v>96</v>
      </c>
      <c r="C2787" s="3">
        <v>96</v>
      </c>
      <c r="D2787" s="3">
        <f>C2787-B2787</f>
        <v>0</v>
      </c>
    </row>
    <row r="2788" spans="1:4">
      <c r="A2788" s="12">
        <v>46250</v>
      </c>
      <c r="B2788" s="3">
        <v>96</v>
      </c>
      <c r="C2788" s="3">
        <v>96</v>
      </c>
      <c r="D2788" s="3">
        <f>C2788-B2788</f>
        <v>0</v>
      </c>
    </row>
    <row r="2789" spans="1:4">
      <c r="A2789" s="12">
        <v>46251</v>
      </c>
      <c r="B2789" s="3">
        <v>96</v>
      </c>
      <c r="C2789" s="3">
        <v>96</v>
      </c>
      <c r="D2789" s="3">
        <f>C2789-B2789</f>
        <v>0</v>
      </c>
    </row>
    <row r="2790" spans="1:4">
      <c r="A2790" s="12">
        <v>46252</v>
      </c>
      <c r="B2790" s="3">
        <v>96</v>
      </c>
      <c r="C2790" s="3">
        <v>96</v>
      </c>
      <c r="D2790" s="3">
        <f>C2790-B2790</f>
        <v>0</v>
      </c>
    </row>
    <row r="2791" spans="1:4">
      <c r="A2791" s="12">
        <v>46253</v>
      </c>
      <c r="B2791" s="3">
        <v>96</v>
      </c>
      <c r="C2791" s="3">
        <v>96</v>
      </c>
      <c r="D2791" s="3">
        <f>C2791-B2791</f>
        <v>0</v>
      </c>
    </row>
    <row r="2792" spans="1:4">
      <c r="A2792" s="12">
        <v>46254</v>
      </c>
      <c r="B2792" s="3">
        <v>96</v>
      </c>
      <c r="C2792" s="3">
        <v>96</v>
      </c>
      <c r="D2792" s="3">
        <f>C2792-B2792</f>
        <v>0</v>
      </c>
    </row>
    <row r="2793" spans="1:4">
      <c r="A2793" s="12">
        <v>46255</v>
      </c>
      <c r="B2793" s="3">
        <v>96</v>
      </c>
      <c r="C2793" s="3">
        <v>96</v>
      </c>
      <c r="D2793" s="3">
        <f>C2793-B2793</f>
        <v>0</v>
      </c>
    </row>
    <row r="2794" spans="1:4">
      <c r="A2794" s="12">
        <v>46256</v>
      </c>
      <c r="B2794" s="3">
        <v>96</v>
      </c>
      <c r="C2794" s="3">
        <v>96</v>
      </c>
      <c r="D2794" s="3">
        <f>C2794-B2794</f>
        <v>0</v>
      </c>
    </row>
    <row r="2795" spans="1:4">
      <c r="A2795" s="12">
        <v>46257</v>
      </c>
      <c r="B2795" s="3">
        <v>96</v>
      </c>
      <c r="C2795" s="3">
        <v>96</v>
      </c>
      <c r="D2795" s="3">
        <f>C2795-B2795</f>
        <v>0</v>
      </c>
    </row>
    <row r="2796" spans="1:4">
      <c r="A2796" s="12">
        <v>46258</v>
      </c>
      <c r="B2796" s="3">
        <v>96</v>
      </c>
      <c r="C2796" s="3">
        <v>96</v>
      </c>
      <c r="D2796" s="3">
        <f>C2796-B2796</f>
        <v>0</v>
      </c>
    </row>
    <row r="2797" spans="1:4">
      <c r="A2797" s="12">
        <v>46259</v>
      </c>
      <c r="B2797" s="3">
        <v>96</v>
      </c>
      <c r="C2797" s="3">
        <v>96</v>
      </c>
      <c r="D2797" s="3">
        <f>C2797-B2797</f>
        <v>0</v>
      </c>
    </row>
    <row r="2798" spans="1:4">
      <c r="A2798" s="12">
        <v>46260</v>
      </c>
      <c r="B2798" s="3">
        <v>96</v>
      </c>
      <c r="C2798" s="3">
        <v>96</v>
      </c>
      <c r="D2798" s="3">
        <f>C2798-B2798</f>
        <v>0</v>
      </c>
    </row>
    <row r="2799" spans="1:4">
      <c r="A2799" s="12">
        <v>46261</v>
      </c>
      <c r="B2799" s="3">
        <v>96</v>
      </c>
      <c r="C2799" s="3">
        <v>96</v>
      </c>
      <c r="D2799" s="3">
        <f>C2799-B2799</f>
        <v>0</v>
      </c>
    </row>
    <row r="2800" spans="1:4">
      <c r="A2800" s="12">
        <v>46262</v>
      </c>
      <c r="B2800" s="3">
        <v>96</v>
      </c>
      <c r="C2800" s="3">
        <v>96</v>
      </c>
      <c r="D2800" s="3">
        <f>C2800-B2800</f>
        <v>0</v>
      </c>
    </row>
    <row r="2801" spans="1:4">
      <c r="A2801" s="12">
        <v>46263</v>
      </c>
      <c r="B2801" s="3">
        <v>96</v>
      </c>
      <c r="C2801" s="3">
        <v>96</v>
      </c>
      <c r="D2801" s="3">
        <f>C2801-B2801</f>
        <v>0</v>
      </c>
    </row>
    <row r="2802" spans="1:4">
      <c r="A2802" s="12">
        <v>46264</v>
      </c>
      <c r="B2802" s="3">
        <v>96</v>
      </c>
      <c r="C2802" s="3">
        <v>96</v>
      </c>
      <c r="D2802" s="3">
        <f>C2802-B2802</f>
        <v>0</v>
      </c>
    </row>
    <row r="2803" spans="1:4">
      <c r="A2803" s="12">
        <v>46265</v>
      </c>
      <c r="B2803" s="3">
        <v>96</v>
      </c>
      <c r="C2803" s="3">
        <v>96</v>
      </c>
      <c r="D2803" s="3">
        <f>C2803-B2803</f>
        <v>0</v>
      </c>
    </row>
    <row r="2804" spans="1:4">
      <c r="A2804" s="12">
        <v>46266</v>
      </c>
      <c r="B2804" s="3">
        <v>96</v>
      </c>
      <c r="C2804" s="3">
        <v>96</v>
      </c>
      <c r="D2804" s="3">
        <f>C2804-B2804</f>
        <v>0</v>
      </c>
    </row>
    <row r="2805" spans="1:4">
      <c r="A2805" s="12">
        <v>46267</v>
      </c>
      <c r="B2805" s="3">
        <v>96</v>
      </c>
      <c r="C2805" s="3">
        <v>96</v>
      </c>
      <c r="D2805" s="3">
        <f>C2805-B2805</f>
        <v>0</v>
      </c>
    </row>
    <row r="2806" spans="1:4">
      <c r="A2806" s="12">
        <v>46268</v>
      </c>
      <c r="B2806" s="3">
        <v>96</v>
      </c>
      <c r="C2806" s="3">
        <v>96</v>
      </c>
      <c r="D2806" s="3">
        <f>C2806-B2806</f>
        <v>0</v>
      </c>
    </row>
    <row r="2807" spans="1:4">
      <c r="A2807" s="12">
        <v>46269</v>
      </c>
      <c r="B2807" s="3">
        <v>96</v>
      </c>
      <c r="C2807" s="3">
        <v>96</v>
      </c>
      <c r="D2807" s="3">
        <f>C2807-B2807</f>
        <v>0</v>
      </c>
    </row>
    <row r="2808" spans="1:4">
      <c r="A2808" s="12">
        <v>46270</v>
      </c>
      <c r="B2808" s="3">
        <v>96</v>
      </c>
      <c r="C2808" s="3">
        <v>96</v>
      </c>
      <c r="D2808" s="3">
        <f>C2808-B2808</f>
        <v>0</v>
      </c>
    </row>
    <row r="2809" spans="1:4">
      <c r="A2809" s="12">
        <v>46271</v>
      </c>
      <c r="B2809" s="3">
        <v>96</v>
      </c>
      <c r="C2809" s="3">
        <v>96</v>
      </c>
      <c r="D2809" s="3">
        <f>C2809-B2809</f>
        <v>0</v>
      </c>
    </row>
    <row r="2810" spans="1:4">
      <c r="A2810" s="12">
        <v>46272</v>
      </c>
      <c r="B2810" s="3">
        <v>96</v>
      </c>
      <c r="C2810" s="3">
        <v>96</v>
      </c>
      <c r="D2810" s="3">
        <f>C2810-B2810</f>
        <v>0</v>
      </c>
    </row>
    <row r="2811" spans="1:4">
      <c r="A2811" s="12">
        <v>46273</v>
      </c>
      <c r="B2811" s="3">
        <v>96</v>
      </c>
      <c r="C2811" s="3">
        <v>96</v>
      </c>
      <c r="D2811" s="3">
        <f>C2811-B2811</f>
        <v>0</v>
      </c>
    </row>
    <row r="2812" spans="1:4">
      <c r="A2812" s="12">
        <v>46274</v>
      </c>
      <c r="B2812" s="3">
        <v>96</v>
      </c>
      <c r="C2812" s="3">
        <v>96</v>
      </c>
      <c r="D2812" s="3">
        <f>C2812-B2812</f>
        <v>0</v>
      </c>
    </row>
    <row r="2813" spans="1:4">
      <c r="A2813" s="12">
        <v>46275</v>
      </c>
      <c r="B2813" s="3">
        <v>96</v>
      </c>
      <c r="C2813" s="3">
        <v>96</v>
      </c>
      <c r="D2813" s="3">
        <f>C2813-B2813</f>
        <v>0</v>
      </c>
    </row>
    <row r="2814" spans="1:4">
      <c r="A2814" s="12">
        <v>46276</v>
      </c>
      <c r="B2814" s="3">
        <v>96</v>
      </c>
      <c r="C2814" s="3">
        <v>96</v>
      </c>
      <c r="D2814" s="3">
        <f>C2814-B2814</f>
        <v>0</v>
      </c>
    </row>
    <row r="2815" spans="1:4">
      <c r="A2815" s="12">
        <v>46277</v>
      </c>
      <c r="B2815" s="3">
        <v>96</v>
      </c>
      <c r="C2815" s="3">
        <v>96</v>
      </c>
      <c r="D2815" s="3">
        <f>C2815-B2815</f>
        <v>0</v>
      </c>
    </row>
    <row r="2816" spans="1:4">
      <c r="A2816" s="12">
        <v>46278</v>
      </c>
      <c r="B2816" s="3">
        <v>96</v>
      </c>
      <c r="C2816" s="3">
        <v>96</v>
      </c>
      <c r="D2816" s="3">
        <f>C2816-B2816</f>
        <v>0</v>
      </c>
    </row>
    <row r="2817" spans="1:4">
      <c r="A2817" s="12">
        <v>46279</v>
      </c>
      <c r="B2817" s="3">
        <v>96</v>
      </c>
      <c r="C2817" s="3">
        <v>96</v>
      </c>
      <c r="D2817" s="3">
        <f>C2817-B2817</f>
        <v>0</v>
      </c>
    </row>
    <row r="2818" spans="1:4">
      <c r="A2818" s="12">
        <v>46280</v>
      </c>
      <c r="B2818" s="3">
        <v>96</v>
      </c>
      <c r="C2818" s="3">
        <v>96</v>
      </c>
      <c r="D2818" s="3">
        <f>C2818-B2818</f>
        <v>0</v>
      </c>
    </row>
    <row r="2819" spans="1:4">
      <c r="A2819" s="12">
        <v>46281</v>
      </c>
      <c r="B2819" s="3">
        <v>96</v>
      </c>
      <c r="C2819" s="3">
        <v>96</v>
      </c>
      <c r="D2819" s="3">
        <f>C2819-B2819</f>
        <v>0</v>
      </c>
    </row>
    <row r="2820" spans="1:4">
      <c r="A2820" s="12">
        <v>46282</v>
      </c>
      <c r="B2820" s="3">
        <v>96</v>
      </c>
      <c r="C2820" s="3">
        <v>96</v>
      </c>
      <c r="D2820" s="3">
        <f>C2820-B2820</f>
        <v>0</v>
      </c>
    </row>
    <row r="2821" spans="1:4">
      <c r="A2821" s="12">
        <v>46283</v>
      </c>
      <c r="B2821" s="3">
        <v>96</v>
      </c>
      <c r="C2821" s="3">
        <v>96</v>
      </c>
      <c r="D2821" s="3">
        <f>C2821-B2821</f>
        <v>0</v>
      </c>
    </row>
    <row r="2822" spans="1:4">
      <c r="A2822" s="12">
        <v>46284</v>
      </c>
      <c r="B2822" s="3">
        <v>96</v>
      </c>
      <c r="C2822" s="3">
        <v>96</v>
      </c>
      <c r="D2822" s="3">
        <f>C2822-B2822</f>
        <v>0</v>
      </c>
    </row>
    <row r="2823" spans="1:4">
      <c r="A2823" s="12">
        <v>46285</v>
      </c>
      <c r="B2823" s="3">
        <v>96</v>
      </c>
      <c r="C2823" s="3">
        <v>96</v>
      </c>
      <c r="D2823" s="3">
        <f>C2823-B2823</f>
        <v>0</v>
      </c>
    </row>
    <row r="2824" spans="1:4">
      <c r="A2824" s="12">
        <v>46286</v>
      </c>
      <c r="B2824" s="3">
        <v>96</v>
      </c>
      <c r="C2824" s="3">
        <v>96</v>
      </c>
      <c r="D2824" s="3">
        <f>C2824-B2824</f>
        <v>0</v>
      </c>
    </row>
    <row r="2825" spans="1:4">
      <c r="A2825" s="12">
        <v>46287</v>
      </c>
      <c r="B2825" s="3">
        <v>96</v>
      </c>
      <c r="C2825" s="3">
        <v>96</v>
      </c>
      <c r="D2825" s="3">
        <f>C2825-B2825</f>
        <v>0</v>
      </c>
    </row>
    <row r="2826" spans="1:4">
      <c r="A2826" s="12">
        <v>46288</v>
      </c>
      <c r="B2826" s="3">
        <v>96</v>
      </c>
      <c r="C2826" s="3">
        <v>96</v>
      </c>
      <c r="D2826" s="3">
        <f>C2826-B2826</f>
        <v>0</v>
      </c>
    </row>
    <row r="2827" spans="1:4">
      <c r="A2827" s="12">
        <v>46289</v>
      </c>
      <c r="B2827" s="3">
        <v>96</v>
      </c>
      <c r="C2827" s="3">
        <v>96</v>
      </c>
      <c r="D2827" s="3">
        <f>C2827-B2827</f>
        <v>0</v>
      </c>
    </row>
    <row r="2828" spans="1:4">
      <c r="A2828" s="12">
        <v>46290</v>
      </c>
      <c r="B2828" s="3">
        <v>96</v>
      </c>
      <c r="C2828" s="3">
        <v>96</v>
      </c>
      <c r="D2828" s="3">
        <f>C2828-B2828</f>
        <v>0</v>
      </c>
    </row>
    <row r="2829" spans="1:4">
      <c r="A2829" s="12">
        <v>46291</v>
      </c>
      <c r="B2829" s="3">
        <v>96</v>
      </c>
      <c r="C2829" s="3">
        <v>96</v>
      </c>
      <c r="D2829" s="3">
        <f>C2829-B2829</f>
        <v>0</v>
      </c>
    </row>
    <row r="2830" spans="1:4">
      <c r="A2830" s="12">
        <v>46292</v>
      </c>
      <c r="B2830" s="3">
        <v>96</v>
      </c>
      <c r="C2830" s="3">
        <v>96</v>
      </c>
      <c r="D2830" s="3">
        <f>C2830-B2830</f>
        <v>0</v>
      </c>
    </row>
    <row r="2831" spans="1:4">
      <c r="A2831" s="12">
        <v>46293</v>
      </c>
      <c r="B2831" s="3">
        <v>96</v>
      </c>
      <c r="C2831" s="3">
        <v>96</v>
      </c>
      <c r="D2831" s="3">
        <f>C2831-B2831</f>
        <v>0</v>
      </c>
    </row>
    <row r="2832" spans="1:4">
      <c r="A2832" s="12">
        <v>46294</v>
      </c>
      <c r="B2832" s="3">
        <v>96</v>
      </c>
      <c r="C2832" s="3">
        <v>96</v>
      </c>
      <c r="D2832" s="3">
        <f>C2832-B2832</f>
        <v>0</v>
      </c>
    </row>
    <row r="2833" spans="1:4">
      <c r="A2833" s="12">
        <v>46295</v>
      </c>
      <c r="B2833" s="3">
        <v>96</v>
      </c>
      <c r="C2833" s="3">
        <v>96</v>
      </c>
      <c r="D2833" s="3">
        <f>C2833-B2833</f>
        <v>0</v>
      </c>
    </row>
    <row r="2834" spans="1:4">
      <c r="A2834" s="12">
        <v>46296</v>
      </c>
      <c r="B2834" s="3">
        <v>96</v>
      </c>
      <c r="C2834" s="3">
        <v>96</v>
      </c>
      <c r="D2834" s="3">
        <f>C2834-B2834</f>
        <v>0</v>
      </c>
    </row>
    <row r="2835" spans="1:4">
      <c r="A2835" s="12">
        <v>46297</v>
      </c>
      <c r="B2835" s="3">
        <v>96</v>
      </c>
      <c r="C2835" s="3">
        <v>96</v>
      </c>
      <c r="D2835" s="3">
        <f>C2835-B2835</f>
        <v>0</v>
      </c>
    </row>
    <row r="2836" spans="1:4">
      <c r="A2836" s="12">
        <v>46298</v>
      </c>
      <c r="B2836" s="3">
        <v>96</v>
      </c>
      <c r="C2836" s="3">
        <v>96</v>
      </c>
      <c r="D2836" s="3">
        <f>C2836-B2836</f>
        <v>0</v>
      </c>
    </row>
    <row r="2837" spans="1:4">
      <c r="A2837" s="12">
        <v>46299</v>
      </c>
      <c r="B2837" s="3">
        <v>96</v>
      </c>
      <c r="C2837" s="3">
        <v>96</v>
      </c>
      <c r="D2837" s="3">
        <f>C2837-B2837</f>
        <v>0</v>
      </c>
    </row>
    <row r="2838" spans="1:4">
      <c r="A2838" s="12">
        <v>46300</v>
      </c>
      <c r="B2838" s="3">
        <v>96</v>
      </c>
      <c r="C2838" s="3">
        <v>96</v>
      </c>
      <c r="D2838" s="3">
        <f>C2838-B2838</f>
        <v>0</v>
      </c>
    </row>
    <row r="2839" spans="1:4">
      <c r="A2839" s="12">
        <v>46301</v>
      </c>
      <c r="B2839" s="3">
        <v>96</v>
      </c>
      <c r="C2839" s="3">
        <v>96</v>
      </c>
      <c r="D2839" s="3">
        <f>C2839-B2839</f>
        <v>0</v>
      </c>
    </row>
    <row r="2840" spans="1:4">
      <c r="A2840" s="12">
        <v>46302</v>
      </c>
      <c r="B2840" s="3">
        <v>96</v>
      </c>
      <c r="C2840" s="3">
        <v>96</v>
      </c>
      <c r="D2840" s="3">
        <f>C2840-B2840</f>
        <v>0</v>
      </c>
    </row>
    <row r="2841" spans="1:4">
      <c r="A2841" s="12">
        <v>46303</v>
      </c>
      <c r="B2841" s="3">
        <v>96</v>
      </c>
      <c r="C2841" s="3">
        <v>96</v>
      </c>
      <c r="D2841" s="3">
        <f>C2841-B2841</f>
        <v>0</v>
      </c>
    </row>
    <row r="2842" spans="1:4">
      <c r="A2842" s="12">
        <v>46304</v>
      </c>
      <c r="B2842" s="3">
        <v>96</v>
      </c>
      <c r="C2842" s="3">
        <v>96</v>
      </c>
      <c r="D2842" s="3">
        <f>C2842-B2842</f>
        <v>0</v>
      </c>
    </row>
    <row r="2843" spans="1:4">
      <c r="A2843" s="12">
        <v>46305</v>
      </c>
      <c r="B2843" s="3">
        <v>96</v>
      </c>
      <c r="C2843" s="3">
        <v>96</v>
      </c>
      <c r="D2843" s="3">
        <f>C2843-B2843</f>
        <v>0</v>
      </c>
    </row>
    <row r="2844" spans="1:4">
      <c r="A2844" s="12">
        <v>46306</v>
      </c>
      <c r="B2844" s="3">
        <v>96</v>
      </c>
      <c r="C2844" s="3">
        <v>96</v>
      </c>
      <c r="D2844" s="3">
        <f>C2844-B2844</f>
        <v>0</v>
      </c>
    </row>
    <row r="2845" spans="1:4">
      <c r="A2845" s="12">
        <v>46307</v>
      </c>
      <c r="B2845" s="3">
        <v>96</v>
      </c>
      <c r="C2845" s="3">
        <v>96</v>
      </c>
      <c r="D2845" s="3">
        <f>C2845-B2845</f>
        <v>0</v>
      </c>
    </row>
    <row r="2846" spans="1:4">
      <c r="A2846" s="12">
        <v>46308</v>
      </c>
      <c r="B2846" s="3">
        <v>96</v>
      </c>
      <c r="C2846" s="3">
        <v>96</v>
      </c>
      <c r="D2846" s="3">
        <f>C2846-B2846</f>
        <v>0</v>
      </c>
    </row>
    <row r="2847" spans="1:4">
      <c r="A2847" s="12">
        <v>46309</v>
      </c>
      <c r="B2847" s="3">
        <v>96</v>
      </c>
      <c r="C2847" s="3">
        <v>96</v>
      </c>
      <c r="D2847" s="3">
        <f>C2847-B2847</f>
        <v>0</v>
      </c>
    </row>
    <row r="2848" spans="1:4">
      <c r="A2848" s="12">
        <v>46310</v>
      </c>
      <c r="B2848" s="3">
        <v>96</v>
      </c>
      <c r="C2848" s="3">
        <v>96</v>
      </c>
      <c r="D2848" s="3">
        <f>C2848-B2848</f>
        <v>0</v>
      </c>
    </row>
    <row r="2849" spans="1:4">
      <c r="A2849" s="12">
        <v>46311</v>
      </c>
      <c r="B2849" s="3">
        <v>96</v>
      </c>
      <c r="C2849" s="3">
        <v>96</v>
      </c>
      <c r="D2849" s="3">
        <f>C2849-B2849</f>
        <v>0</v>
      </c>
    </row>
    <row r="2850" spans="1:4">
      <c r="A2850" s="12">
        <v>46312</v>
      </c>
      <c r="B2850" s="3">
        <v>96</v>
      </c>
      <c r="C2850" s="3">
        <v>96</v>
      </c>
      <c r="D2850" s="3">
        <f>C2850-B2850</f>
        <v>0</v>
      </c>
    </row>
    <row r="2851" spans="1:4">
      <c r="A2851" s="12">
        <v>46313</v>
      </c>
      <c r="B2851" s="3">
        <v>96</v>
      </c>
      <c r="C2851" s="3">
        <v>96</v>
      </c>
      <c r="D2851" s="3">
        <f>C2851-B2851</f>
        <v>0</v>
      </c>
    </row>
    <row r="2852" spans="1:4">
      <c r="A2852" s="12">
        <v>46314</v>
      </c>
      <c r="B2852" s="3">
        <v>96</v>
      </c>
      <c r="C2852" s="3">
        <v>96</v>
      </c>
      <c r="D2852" s="3">
        <f>C2852-B2852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99"/>
  <sheetViews>
    <sheetView workbookViewId="0"/>
  </sheetViews>
  <sheetFormatPr defaultRowHeight="15"/>
  <cols>
    <col min="1" max="8" width="15.7109375" customWidth="1"/>
  </cols>
  <sheetData>
    <row r="1" spans="1:9">
      <c r="A1" s="1" t="s">
        <v>214</v>
      </c>
    </row>
    <row r="3" spans="1:9">
      <c r="A3" s="2" t="s">
        <v>159</v>
      </c>
      <c r="B3" s="2" t="s">
        <v>210</v>
      </c>
      <c r="C3" s="2" t="s">
        <v>215</v>
      </c>
      <c r="D3" s="2" t="s">
        <v>216</v>
      </c>
      <c r="E3" s="2" t="s">
        <v>217</v>
      </c>
      <c r="F3" s="2" t="s">
        <v>218</v>
      </c>
      <c r="G3" s="2" t="s">
        <v>219</v>
      </c>
      <c r="H3" s="2" t="s">
        <v>220</v>
      </c>
      <c r="I3" s="2" t="s">
        <v>584</v>
      </c>
    </row>
    <row r="4" spans="1:9">
      <c r="A4" s="3" t="s">
        <v>168</v>
      </c>
      <c r="B4" s="3" t="s">
        <v>153</v>
      </c>
      <c r="C4" s="3">
        <v>28</v>
      </c>
      <c r="D4" s="3">
        <v>28</v>
      </c>
      <c r="E4" s="8">
        <v>-17.181818</v>
      </c>
      <c r="F4" s="8">
        <v>-17.182</v>
      </c>
      <c r="G4" s="11">
        <v>21368.40866402</v>
      </c>
      <c r="H4" s="11">
        <v>21368.34</v>
      </c>
      <c r="I4" s="11">
        <f>H4-G4</f>
        <v>-0.06866402000014205</v>
      </c>
    </row>
    <row r="5" spans="1:9">
      <c r="A5" s="3" t="s">
        <v>168</v>
      </c>
      <c r="B5" s="3" t="s">
        <v>221</v>
      </c>
      <c r="C5" s="3">
        <v>28</v>
      </c>
      <c r="D5" s="3">
        <v>28</v>
      </c>
      <c r="E5" s="8">
        <v>-17.181818</v>
      </c>
      <c r="F5" s="8">
        <v>-17.182</v>
      </c>
      <c r="G5" s="11">
        <v>12752.97423352</v>
      </c>
      <c r="H5" s="11">
        <v>12752.87</v>
      </c>
      <c r="I5" s="11">
        <f>H5-G5</f>
        <v>-0.10423351999816077</v>
      </c>
    </row>
    <row r="6" spans="1:9">
      <c r="A6" s="3" t="s">
        <v>168</v>
      </c>
      <c r="B6" s="3" t="s">
        <v>222</v>
      </c>
      <c r="C6" s="3">
        <v>28</v>
      </c>
      <c r="D6" s="3">
        <v>28</v>
      </c>
      <c r="E6" s="8">
        <v>-17.181818</v>
      </c>
      <c r="F6" s="8">
        <v>-17.183</v>
      </c>
      <c r="G6" s="11">
        <v>11348.1918251</v>
      </c>
      <c r="H6" s="11">
        <v>11348.04</v>
      </c>
      <c r="I6" s="11">
        <f>H6-G6</f>
        <v>-0.151825100001588</v>
      </c>
    </row>
    <row r="7" spans="1:9">
      <c r="A7" s="3" t="s">
        <v>168</v>
      </c>
      <c r="B7" s="3" t="s">
        <v>223</v>
      </c>
      <c r="C7" s="3">
        <v>28</v>
      </c>
      <c r="D7" s="3">
        <v>28</v>
      </c>
      <c r="E7" s="8">
        <v>-17.181818</v>
      </c>
      <c r="F7" s="8">
        <v>-17.182</v>
      </c>
      <c r="G7" s="11">
        <v>239.7252143</v>
      </c>
      <c r="H7" s="11">
        <v>239.73</v>
      </c>
      <c r="I7" s="11">
        <f>H7-G7</f>
        <v>0.0047857000000135486</v>
      </c>
    </row>
    <row r="8" spans="1:9">
      <c r="A8" s="3" t="s">
        <v>168</v>
      </c>
      <c r="B8" s="3" t="s">
        <v>224</v>
      </c>
      <c r="C8" s="3">
        <v>28</v>
      </c>
      <c r="D8" s="3">
        <v>28</v>
      </c>
      <c r="E8" s="8">
        <v>-17.181818</v>
      </c>
      <c r="F8" s="8">
        <v>-17.182</v>
      </c>
      <c r="G8" s="11">
        <v>1470.91474105</v>
      </c>
      <c r="H8" s="11">
        <v>1470.92</v>
      </c>
      <c r="I8" s="11">
        <f>H8-G8</f>
        <v>0.005258950000097684</v>
      </c>
    </row>
    <row r="9" spans="1:9">
      <c r="A9" s="3" t="s">
        <v>168</v>
      </c>
      <c r="B9" s="3" t="s">
        <v>225</v>
      </c>
      <c r="C9" s="3">
        <v>29</v>
      </c>
      <c r="D9" s="3">
        <v>29</v>
      </c>
      <c r="E9" s="8">
        <v>-17.181817</v>
      </c>
      <c r="F9" s="8">
        <v>-17.182</v>
      </c>
      <c r="G9" s="11">
        <v>7653.83567261</v>
      </c>
      <c r="H9" s="11">
        <v>7653.8</v>
      </c>
      <c r="I9" s="11">
        <f>H9-G9</f>
        <v>-0.0356726099998923</v>
      </c>
    </row>
    <row r="10" spans="1:9">
      <c r="A10" s="3" t="s">
        <v>168</v>
      </c>
      <c r="B10" s="3" t="s">
        <v>226</v>
      </c>
      <c r="C10" s="3">
        <v>27</v>
      </c>
      <c r="D10" s="3">
        <v>27</v>
      </c>
      <c r="E10" s="8">
        <v>-17.181818</v>
      </c>
      <c r="F10" s="8">
        <v>-17.18</v>
      </c>
      <c r="G10" s="11">
        <v>17609.62066221</v>
      </c>
      <c r="H10" s="11">
        <v>17609.81</v>
      </c>
      <c r="I10" s="11">
        <f>H10-G10</f>
        <v>0.18933779000144568</v>
      </c>
    </row>
    <row r="11" spans="1:9">
      <c r="A11" s="3" t="s">
        <v>168</v>
      </c>
      <c r="B11" s="3" t="s">
        <v>227</v>
      </c>
      <c r="C11" s="3">
        <v>27</v>
      </c>
      <c r="D11" s="3">
        <v>27</v>
      </c>
      <c r="E11" s="8">
        <v>-17.181818</v>
      </c>
      <c r="F11" s="8">
        <v>-17.181</v>
      </c>
      <c r="G11" s="11">
        <v>10446.51566508</v>
      </c>
      <c r="H11" s="11">
        <v>10446.58</v>
      </c>
      <c r="I11" s="11">
        <f>H11-G11</f>
        <v>0.06433492000178376</v>
      </c>
    </row>
    <row r="12" spans="1:9">
      <c r="A12" s="3" t="s">
        <v>168</v>
      </c>
      <c r="B12" s="3" t="s">
        <v>228</v>
      </c>
      <c r="C12" s="3">
        <v>27</v>
      </c>
      <c r="D12" s="3">
        <v>27</v>
      </c>
      <c r="E12" s="8">
        <v>-17.181819</v>
      </c>
      <c r="F12" s="8">
        <v>-17.18</v>
      </c>
      <c r="G12" s="11">
        <v>5726.38775218</v>
      </c>
      <c r="H12" s="11">
        <v>5726.58</v>
      </c>
      <c r="I12" s="11">
        <f>H12-G12</f>
        <v>0.1922478200003752</v>
      </c>
    </row>
    <row r="13" spans="1:9">
      <c r="A13" s="3" t="s">
        <v>168</v>
      </c>
      <c r="B13" s="3" t="s">
        <v>229</v>
      </c>
      <c r="C13" s="3">
        <v>28</v>
      </c>
      <c r="D13" s="3">
        <v>28</v>
      </c>
      <c r="E13" s="8">
        <v>-17.181818</v>
      </c>
      <c r="F13" s="8">
        <v>-17.182</v>
      </c>
      <c r="G13" s="11">
        <v>4860.09300933</v>
      </c>
      <c r="H13" s="11">
        <v>4860.04</v>
      </c>
      <c r="I13" s="11">
        <f>H13-G13</f>
        <v>-0.05300933000035002</v>
      </c>
    </row>
    <row r="14" spans="1:9">
      <c r="A14" s="3" t="s">
        <v>168</v>
      </c>
      <c r="B14" s="3" t="s">
        <v>230</v>
      </c>
      <c r="C14" s="3">
        <v>27</v>
      </c>
      <c r="D14" s="3">
        <v>27</v>
      </c>
      <c r="E14" s="8">
        <v>-17.181819</v>
      </c>
      <c r="F14" s="8">
        <v>-17.18</v>
      </c>
      <c r="G14" s="11">
        <v>6078.70092018</v>
      </c>
      <c r="H14" s="11">
        <v>6078.85</v>
      </c>
      <c r="I14" s="11">
        <f>H14-G14</f>
        <v>0.14907982000022457</v>
      </c>
    </row>
    <row r="15" spans="1:9">
      <c r="A15" s="3" t="s">
        <v>168</v>
      </c>
      <c r="B15" s="3" t="s">
        <v>231</v>
      </c>
      <c r="C15" s="3">
        <v>27</v>
      </c>
      <c r="D15" s="3">
        <v>27</v>
      </c>
      <c r="E15" s="8">
        <v>-17.181818</v>
      </c>
      <c r="F15" s="8">
        <v>-17.18</v>
      </c>
      <c r="G15" s="11">
        <v>2952.58073152</v>
      </c>
      <c r="H15" s="11">
        <v>2952.76</v>
      </c>
      <c r="I15" s="11">
        <f>H15-G15</f>
        <v>0.1792684800002462</v>
      </c>
    </row>
    <row r="16" spans="1:9">
      <c r="A16" s="3" t="s">
        <v>168</v>
      </c>
      <c r="B16" s="3" t="s">
        <v>232</v>
      </c>
      <c r="C16" s="3">
        <v>29</v>
      </c>
      <c r="D16" s="3">
        <v>29</v>
      </c>
      <c r="E16" s="8">
        <v>-17.181817</v>
      </c>
      <c r="F16" s="8">
        <v>-17.182</v>
      </c>
      <c r="G16" s="11">
        <v>20883.27409603</v>
      </c>
      <c r="H16" s="11">
        <v>20883.02</v>
      </c>
      <c r="I16" s="11">
        <f>H16-G16</f>
        <v>-0.2540960299993458</v>
      </c>
    </row>
    <row r="17" spans="1:9">
      <c r="A17" s="3" t="s">
        <v>168</v>
      </c>
      <c r="B17" s="3" t="s">
        <v>233</v>
      </c>
      <c r="C17" s="3">
        <v>27</v>
      </c>
      <c r="D17" s="3">
        <v>27</v>
      </c>
      <c r="E17" s="8">
        <v>-17.181818</v>
      </c>
      <c r="F17" s="8">
        <v>-17.181</v>
      </c>
      <c r="G17" s="11">
        <v>25845.09477734</v>
      </c>
      <c r="H17" s="11">
        <v>25845.17</v>
      </c>
      <c r="I17" s="11">
        <f>H17-G17</f>
        <v>0.07522265999796218</v>
      </c>
    </row>
    <row r="18" spans="1:9">
      <c r="A18" s="3" t="s">
        <v>168</v>
      </c>
      <c r="B18" s="3" t="s">
        <v>234</v>
      </c>
      <c r="C18" s="3">
        <v>29</v>
      </c>
      <c r="D18" s="3">
        <v>29</v>
      </c>
      <c r="E18" s="8">
        <v>-17.181818</v>
      </c>
      <c r="F18" s="8">
        <v>-17.182</v>
      </c>
      <c r="G18" s="11">
        <v>18384.88176227</v>
      </c>
      <c r="H18" s="11">
        <v>18384.72</v>
      </c>
      <c r="I18" s="11">
        <f>H18-G18</f>
        <v>-0.16176226999959908</v>
      </c>
    </row>
    <row r="19" spans="1:9">
      <c r="A19" s="3" t="s">
        <v>168</v>
      </c>
      <c r="B19" s="3" t="s">
        <v>235</v>
      </c>
      <c r="C19" s="3">
        <v>27</v>
      </c>
      <c r="D19" s="3">
        <v>27</v>
      </c>
      <c r="E19" s="8">
        <v>-17.181818</v>
      </c>
      <c r="F19" s="8">
        <v>-17.181</v>
      </c>
      <c r="G19" s="11">
        <v>5314.41954355</v>
      </c>
      <c r="H19" s="11">
        <v>5314.49</v>
      </c>
      <c r="I19" s="11">
        <f>H19-G19</f>
        <v>0.0704564500001652</v>
      </c>
    </row>
    <row r="20" spans="1:9">
      <c r="A20" s="3" t="s">
        <v>168</v>
      </c>
      <c r="B20" s="3" t="s">
        <v>236</v>
      </c>
      <c r="C20" s="3">
        <v>28</v>
      </c>
      <c r="D20" s="3">
        <v>28</v>
      </c>
      <c r="E20" s="8">
        <v>-17.181818</v>
      </c>
      <c r="F20" s="8">
        <v>-17.182</v>
      </c>
      <c r="G20" s="11">
        <v>5260.17170544</v>
      </c>
      <c r="H20" s="11">
        <v>5260.099999999999</v>
      </c>
      <c r="I20" s="11">
        <f>H20-G20</f>
        <v>-0.07170544000018708</v>
      </c>
    </row>
    <row r="21" spans="1:9">
      <c r="A21" s="3" t="s">
        <v>168</v>
      </c>
      <c r="B21" s="3" t="s">
        <v>237</v>
      </c>
      <c r="C21" s="3">
        <v>28</v>
      </c>
      <c r="D21" s="3">
        <v>28</v>
      </c>
      <c r="E21" s="8">
        <v>-17.181818</v>
      </c>
      <c r="F21" s="8">
        <v>-17.182</v>
      </c>
      <c r="G21" s="11">
        <v>5221.1088456</v>
      </c>
      <c r="H21" s="11">
        <v>5221.070000000001</v>
      </c>
      <c r="I21" s="11">
        <f>H21-G21</f>
        <v>-0.03884559999914927</v>
      </c>
    </row>
    <row r="22" spans="1:9">
      <c r="A22" s="3" t="s">
        <v>168</v>
      </c>
      <c r="B22" s="3" t="s">
        <v>238</v>
      </c>
      <c r="C22" s="3">
        <v>28</v>
      </c>
      <c r="D22" s="3">
        <v>28</v>
      </c>
      <c r="E22" s="8">
        <v>-17.181818</v>
      </c>
      <c r="F22" s="8">
        <v>-17.182</v>
      </c>
      <c r="G22" s="11">
        <v>6909.144713</v>
      </c>
      <c r="H22" s="11">
        <v>6909.08</v>
      </c>
      <c r="I22" s="11">
        <f>H22-G22</f>
        <v>-0.064712999999756</v>
      </c>
    </row>
    <row r="23" spans="1:9">
      <c r="A23" s="3" t="s">
        <v>168</v>
      </c>
      <c r="B23" s="3" t="s">
        <v>239</v>
      </c>
      <c r="C23" s="3">
        <v>27</v>
      </c>
      <c r="D23" s="3">
        <v>27</v>
      </c>
      <c r="E23" s="8">
        <v>-17.181818</v>
      </c>
      <c r="F23" s="8">
        <v>-17.181</v>
      </c>
      <c r="G23" s="11">
        <v>6683.84588999</v>
      </c>
      <c r="H23" s="11">
        <v>6683.88</v>
      </c>
      <c r="I23" s="11">
        <f>H23-G23</f>
        <v>0.034110010000404145</v>
      </c>
    </row>
    <row r="24" spans="1:9">
      <c r="A24" s="3" t="s">
        <v>168</v>
      </c>
      <c r="B24" s="3" t="s">
        <v>240</v>
      </c>
      <c r="C24" s="3">
        <v>27</v>
      </c>
      <c r="D24" s="3">
        <v>27</v>
      </c>
      <c r="E24" s="8">
        <v>-17.181818</v>
      </c>
      <c r="F24" s="8">
        <v>-17.181</v>
      </c>
      <c r="G24" s="11">
        <v>7598.293827699999</v>
      </c>
      <c r="H24" s="11">
        <v>7598.33</v>
      </c>
      <c r="I24" s="11">
        <f>H24-G24</f>
        <v>0.036172300000544055</v>
      </c>
    </row>
    <row r="25" spans="1:9">
      <c r="A25" s="3" t="s">
        <v>168</v>
      </c>
      <c r="B25" s="3" t="s">
        <v>241</v>
      </c>
      <c r="C25" s="3">
        <v>27</v>
      </c>
      <c r="D25" s="3">
        <v>27</v>
      </c>
      <c r="E25" s="8">
        <v>-17.181818</v>
      </c>
      <c r="F25" s="8">
        <v>-17.181</v>
      </c>
      <c r="G25" s="11">
        <v>15887.44407125</v>
      </c>
      <c r="H25" s="11">
        <v>15887.53</v>
      </c>
      <c r="I25" s="11">
        <f>H25-G25</f>
        <v>0.08592875000067579</v>
      </c>
    </row>
    <row r="26" spans="1:9">
      <c r="A26" s="3" t="s">
        <v>168</v>
      </c>
      <c r="B26" s="3" t="s">
        <v>242</v>
      </c>
      <c r="C26" s="3">
        <v>28</v>
      </c>
      <c r="D26" s="3">
        <v>28</v>
      </c>
      <c r="E26" s="8">
        <v>-17.181818</v>
      </c>
      <c r="F26" s="8">
        <v>-17.182</v>
      </c>
      <c r="G26" s="11">
        <v>4168.91865333</v>
      </c>
      <c r="H26" s="11">
        <v>4168.85</v>
      </c>
      <c r="I26" s="11">
        <f>H26-G26</f>
        <v>-0.06865332999950624</v>
      </c>
    </row>
    <row r="27" spans="1:9">
      <c r="A27" s="3" t="s">
        <v>168</v>
      </c>
      <c r="B27" s="3" t="s">
        <v>243</v>
      </c>
      <c r="C27" s="3">
        <v>28</v>
      </c>
      <c r="D27" s="3">
        <v>28</v>
      </c>
      <c r="E27" s="8">
        <v>-17.181818</v>
      </c>
      <c r="F27" s="8">
        <v>-17.182</v>
      </c>
      <c r="G27" s="11">
        <v>9633.322018590001</v>
      </c>
      <c r="H27" s="11">
        <v>9633.26</v>
      </c>
      <c r="I27" s="11">
        <f>H27-G27</f>
        <v>-0.06201859000066179</v>
      </c>
    </row>
    <row r="28" spans="1:9">
      <c r="A28" s="3" t="s">
        <v>168</v>
      </c>
      <c r="B28" s="3" t="s">
        <v>244</v>
      </c>
      <c r="C28" s="3">
        <v>27</v>
      </c>
      <c r="D28" s="3">
        <v>27</v>
      </c>
      <c r="E28" s="8">
        <v>-17.181818</v>
      </c>
      <c r="F28" s="8">
        <v>-17.18</v>
      </c>
      <c r="G28" s="11">
        <v>3867.98708375</v>
      </c>
      <c r="H28" s="11">
        <v>3868</v>
      </c>
      <c r="I28" s="11">
        <f>H28-G28</f>
        <v>0.01291624999976193</v>
      </c>
    </row>
    <row r="29" spans="1:9">
      <c r="A29" s="3" t="s">
        <v>168</v>
      </c>
      <c r="B29" s="3" t="s">
        <v>245</v>
      </c>
      <c r="C29" s="3">
        <v>29</v>
      </c>
      <c r="D29" s="3">
        <v>29</v>
      </c>
      <c r="E29" s="8">
        <v>-17.181818</v>
      </c>
      <c r="F29" s="8">
        <v>-17.182</v>
      </c>
      <c r="G29" s="11">
        <v>2523.5326139</v>
      </c>
      <c r="H29" s="11">
        <v>2523.51</v>
      </c>
      <c r="I29" s="11">
        <f>H29-G29</f>
        <v>-0.02261389999966923</v>
      </c>
    </row>
    <row r="30" spans="1:9">
      <c r="A30" s="3" t="s">
        <v>168</v>
      </c>
      <c r="B30" s="3" t="s">
        <v>246</v>
      </c>
      <c r="C30" s="3">
        <v>29</v>
      </c>
      <c r="D30" s="3">
        <v>29</v>
      </c>
      <c r="E30" s="8">
        <v>-17.181817</v>
      </c>
      <c r="F30" s="8">
        <v>-17.182</v>
      </c>
      <c r="G30" s="11">
        <v>4902.128504600001</v>
      </c>
      <c r="H30" s="11">
        <v>4902.07</v>
      </c>
      <c r="I30" s="11">
        <f>H30-G30</f>
        <v>-0.05850460000146995</v>
      </c>
    </row>
    <row r="31" spans="1:9">
      <c r="A31" s="3" t="s">
        <v>168</v>
      </c>
      <c r="B31" s="3" t="s">
        <v>247</v>
      </c>
      <c r="C31" s="3">
        <v>18</v>
      </c>
      <c r="D31" s="3">
        <v>18</v>
      </c>
      <c r="E31" s="8">
        <v>-10.745315</v>
      </c>
      <c r="F31" s="8">
        <v>-10.746</v>
      </c>
      <c r="G31" s="11">
        <v>4423.9230501</v>
      </c>
      <c r="H31" s="11">
        <v>4423.82</v>
      </c>
      <c r="I31" s="11">
        <f>H31-G31</f>
        <v>-0.10305010000047332</v>
      </c>
    </row>
    <row r="32" spans="1:9">
      <c r="A32" s="3" t="s">
        <v>168</v>
      </c>
      <c r="B32" s="3" t="s">
        <v>248</v>
      </c>
      <c r="C32" s="3">
        <v>29</v>
      </c>
      <c r="D32" s="3">
        <v>29</v>
      </c>
      <c r="E32" s="8">
        <v>-17.181817</v>
      </c>
      <c r="F32" s="8">
        <v>-17.182</v>
      </c>
      <c r="G32" s="11">
        <v>5015.24653659</v>
      </c>
      <c r="H32" s="11">
        <v>5015.17</v>
      </c>
      <c r="I32" s="11">
        <f>H32-G32</f>
        <v>-0.07653658999970503</v>
      </c>
    </row>
    <row r="33" spans="1:9">
      <c r="A33" s="3" t="s">
        <v>168</v>
      </c>
      <c r="B33" s="3" t="s">
        <v>249</v>
      </c>
      <c r="C33" s="3">
        <v>29</v>
      </c>
      <c r="D33" s="3">
        <v>29</v>
      </c>
      <c r="E33" s="8">
        <v>-17.181817</v>
      </c>
      <c r="F33" s="8">
        <v>-17.182</v>
      </c>
      <c r="G33" s="11">
        <v>7471.5561166</v>
      </c>
      <c r="H33" s="11">
        <v>7471.45</v>
      </c>
      <c r="I33" s="11">
        <f>H33-G33</f>
        <v>-0.10611659999995027</v>
      </c>
    </row>
    <row r="34" spans="1:9">
      <c r="A34" s="3" t="s">
        <v>168</v>
      </c>
      <c r="B34" s="3" t="s">
        <v>250</v>
      </c>
      <c r="C34" s="3">
        <v>28</v>
      </c>
      <c r="D34" s="3">
        <v>28</v>
      </c>
      <c r="E34" s="8">
        <v>-17.181818</v>
      </c>
      <c r="F34" s="8">
        <v>-17.182</v>
      </c>
      <c r="G34" s="11">
        <v>3564.33022666</v>
      </c>
      <c r="H34" s="11">
        <v>3564.31</v>
      </c>
      <c r="I34" s="11">
        <f>H34-G34</f>
        <v>-0.020226659999480034</v>
      </c>
    </row>
    <row r="35" spans="1:9">
      <c r="A35" s="3" t="s">
        <v>168</v>
      </c>
      <c r="B35" s="3" t="s">
        <v>251</v>
      </c>
      <c r="C35" s="3">
        <v>28</v>
      </c>
      <c r="D35" s="3">
        <v>28</v>
      </c>
      <c r="E35" s="8">
        <v>-17.181818</v>
      </c>
      <c r="F35" s="8">
        <v>-17.182</v>
      </c>
      <c r="G35" s="11">
        <v>2798.98587982</v>
      </c>
      <c r="H35" s="11">
        <v>2798.97</v>
      </c>
      <c r="I35" s="11">
        <f>H35-G35</f>
        <v>-0.015879819999554456</v>
      </c>
    </row>
    <row r="36" spans="1:9">
      <c r="A36" s="3" t="s">
        <v>168</v>
      </c>
      <c r="B36" s="3" t="s">
        <v>252</v>
      </c>
      <c r="C36" s="3">
        <v>29</v>
      </c>
      <c r="D36" s="3">
        <v>29</v>
      </c>
      <c r="E36" s="8">
        <v>-17.181819</v>
      </c>
      <c r="F36" s="8">
        <v>-17.181</v>
      </c>
      <c r="G36" s="11">
        <v>743.5608694100004</v>
      </c>
      <c r="H36" s="11">
        <v>743.5999999999999</v>
      </c>
      <c r="I36" s="11">
        <f>H36-G36</f>
        <v>0.03913058999955865</v>
      </c>
    </row>
    <row r="37" spans="1:9">
      <c r="A37" s="3" t="s">
        <v>168</v>
      </c>
      <c r="B37" s="3" t="s">
        <v>253</v>
      </c>
      <c r="C37" s="3">
        <v>21</v>
      </c>
      <c r="D37" s="3">
        <v>21</v>
      </c>
      <c r="E37" s="8">
        <v>-12.177133</v>
      </c>
      <c r="F37" s="8">
        <v>-12.177</v>
      </c>
      <c r="G37" s="11">
        <v>3094.66829219</v>
      </c>
      <c r="H37" s="11">
        <v>3094.61</v>
      </c>
      <c r="I37" s="11">
        <f>H37-G37</f>
        <v>-0.05829218999997465</v>
      </c>
    </row>
    <row r="38" spans="1:9">
      <c r="A38" s="3" t="s">
        <v>168</v>
      </c>
      <c r="B38" s="3" t="s">
        <v>254</v>
      </c>
      <c r="C38" s="3">
        <v>29</v>
      </c>
      <c r="D38" s="3">
        <v>29</v>
      </c>
      <c r="E38" s="8">
        <v>-17.181817</v>
      </c>
      <c r="F38" s="8">
        <v>-17.182</v>
      </c>
      <c r="G38" s="11">
        <v>8021.321680350001</v>
      </c>
      <c r="H38" s="11">
        <v>8021.21</v>
      </c>
      <c r="I38" s="11">
        <f>H38-G38</f>
        <v>-0.11168035000082455</v>
      </c>
    </row>
    <row r="39" spans="1:9">
      <c r="A39" s="3" t="s">
        <v>168</v>
      </c>
      <c r="B39" s="3" t="s">
        <v>255</v>
      </c>
      <c r="C39" s="3">
        <v>28</v>
      </c>
      <c r="D39" s="3">
        <v>28</v>
      </c>
      <c r="E39" s="8">
        <v>-17.181818</v>
      </c>
      <c r="F39" s="8">
        <v>-17.181</v>
      </c>
      <c r="G39" s="11">
        <v>6895.14027084</v>
      </c>
      <c r="H39" s="11">
        <v>6895.219999999999</v>
      </c>
      <c r="I39" s="11">
        <f>H39-G39</f>
        <v>0.07972915999926045</v>
      </c>
    </row>
    <row r="40" spans="1:9">
      <c r="A40" s="3" t="s">
        <v>168</v>
      </c>
      <c r="B40" s="3" t="s">
        <v>256</v>
      </c>
      <c r="C40" s="3">
        <v>28</v>
      </c>
      <c r="D40" s="3">
        <v>28</v>
      </c>
      <c r="E40" s="8">
        <v>-17.181818</v>
      </c>
      <c r="F40" s="8">
        <v>-17.182</v>
      </c>
      <c r="G40" s="11">
        <v>6438.03667444</v>
      </c>
      <c r="H40" s="11">
        <v>6437.93</v>
      </c>
      <c r="I40" s="11">
        <f>H40-G40</f>
        <v>-0.1066744399995514</v>
      </c>
    </row>
    <row r="41" spans="1:9">
      <c r="A41" s="3" t="s">
        <v>168</v>
      </c>
      <c r="B41" s="3" t="s">
        <v>257</v>
      </c>
      <c r="C41" s="3">
        <v>28</v>
      </c>
      <c r="D41" s="3">
        <v>28</v>
      </c>
      <c r="E41" s="8">
        <v>-17.181818</v>
      </c>
      <c r="F41" s="8">
        <v>-17.182</v>
      </c>
      <c r="G41" s="11">
        <v>8144.43461441</v>
      </c>
      <c r="H41" s="11">
        <v>8144.330000000001</v>
      </c>
      <c r="I41" s="11">
        <f>H41-G41</f>
        <v>-0.10461440999915794</v>
      </c>
    </row>
    <row r="42" spans="1:9">
      <c r="A42" s="3" t="s">
        <v>168</v>
      </c>
      <c r="B42" s="3" t="s">
        <v>258</v>
      </c>
      <c r="C42" s="3">
        <v>28</v>
      </c>
      <c r="D42" s="3">
        <v>28</v>
      </c>
      <c r="E42" s="8">
        <v>-17.181818</v>
      </c>
      <c r="F42" s="8">
        <v>-17.182</v>
      </c>
      <c r="G42" s="11">
        <v>2116.00048424</v>
      </c>
      <c r="H42" s="11">
        <v>2116</v>
      </c>
      <c r="I42" s="11">
        <f>H42-G42</f>
        <v>-0.0004842400007873948</v>
      </c>
    </row>
    <row r="43" spans="1:9">
      <c r="A43" s="3" t="s">
        <v>168</v>
      </c>
      <c r="B43" s="3" t="s">
        <v>259</v>
      </c>
      <c r="C43" s="3">
        <v>24</v>
      </c>
      <c r="D43" s="3">
        <v>24</v>
      </c>
      <c r="E43" s="8">
        <v>-15.04077</v>
      </c>
      <c r="F43" s="8">
        <v>-15.041</v>
      </c>
      <c r="G43" s="11">
        <v>1268.81005935</v>
      </c>
      <c r="H43" s="11">
        <v>1268.76</v>
      </c>
      <c r="I43" s="11">
        <f>H43-G43</f>
        <v>-0.05005934999940109</v>
      </c>
    </row>
    <row r="44" spans="1:9">
      <c r="A44" s="3" t="s">
        <v>168</v>
      </c>
      <c r="B44" s="3" t="s">
        <v>260</v>
      </c>
      <c r="C44" s="3">
        <v>21</v>
      </c>
      <c r="D44" s="3">
        <v>21</v>
      </c>
      <c r="E44" s="8">
        <v>-12.177133</v>
      </c>
      <c r="F44" s="8">
        <v>-12.177</v>
      </c>
      <c r="G44" s="11">
        <v>3217.33993359</v>
      </c>
      <c r="H44" s="11">
        <v>3217.31</v>
      </c>
      <c r="I44" s="11">
        <f>H44-G44</f>
        <v>-0.02993358999992779</v>
      </c>
    </row>
    <row r="45" spans="1:9">
      <c r="A45" s="3" t="s">
        <v>168</v>
      </c>
      <c r="B45" s="3" t="s">
        <v>261</v>
      </c>
      <c r="C45" s="3">
        <v>28</v>
      </c>
      <c r="D45" s="3">
        <v>28</v>
      </c>
      <c r="E45" s="8">
        <v>-17.181817</v>
      </c>
      <c r="F45" s="8">
        <v>-17.181</v>
      </c>
      <c r="G45" s="11">
        <v>4921.704615479999</v>
      </c>
      <c r="H45" s="11">
        <v>4921.76</v>
      </c>
      <c r="I45" s="11">
        <f>H45-G45</f>
        <v>0.05538452000109828</v>
      </c>
    </row>
    <row r="46" spans="1:9">
      <c r="A46" s="3" t="s">
        <v>168</v>
      </c>
      <c r="B46" s="3" t="s">
        <v>262</v>
      </c>
      <c r="C46" s="3">
        <v>27</v>
      </c>
      <c r="D46" s="3">
        <v>27</v>
      </c>
      <c r="E46" s="8">
        <v>-17.181818</v>
      </c>
      <c r="F46" s="8">
        <v>-17.181</v>
      </c>
      <c r="G46" s="11">
        <v>6373.39112101</v>
      </c>
      <c r="H46" s="11">
        <v>6373.41</v>
      </c>
      <c r="I46" s="11">
        <f>H46-G46</f>
        <v>0.01887899000030302</v>
      </c>
    </row>
    <row r="47" spans="1:9">
      <c r="A47" s="3" t="s">
        <v>168</v>
      </c>
      <c r="B47" s="3" t="s">
        <v>263</v>
      </c>
      <c r="C47" s="3">
        <v>28</v>
      </c>
      <c r="D47" s="3">
        <v>28</v>
      </c>
      <c r="E47" s="8">
        <v>-17.181818</v>
      </c>
      <c r="F47" s="8">
        <v>-17.182</v>
      </c>
      <c r="G47" s="11">
        <v>5184.580152510001</v>
      </c>
      <c r="H47" s="11">
        <v>5184.54</v>
      </c>
      <c r="I47" s="11">
        <f>H47-G47</f>
        <v>-0.040152510000552866</v>
      </c>
    </row>
    <row r="48" spans="1:9">
      <c r="A48" s="3" t="s">
        <v>168</v>
      </c>
      <c r="B48" s="3" t="s">
        <v>264</v>
      </c>
      <c r="C48" s="3">
        <v>28</v>
      </c>
      <c r="D48" s="3">
        <v>28</v>
      </c>
      <c r="E48" s="8">
        <v>-17.181818</v>
      </c>
      <c r="F48" s="8">
        <v>-17.182</v>
      </c>
      <c r="G48" s="11">
        <v>3312.006891430001</v>
      </c>
      <c r="H48" s="11">
        <v>3312</v>
      </c>
      <c r="I48" s="11">
        <f>H48-G48</f>
        <v>-0.00689143000090553</v>
      </c>
    </row>
    <row r="49" spans="1:9">
      <c r="A49" s="3" t="s">
        <v>168</v>
      </c>
      <c r="B49" s="3" t="s">
        <v>265</v>
      </c>
      <c r="C49" s="3">
        <v>28</v>
      </c>
      <c r="D49" s="3">
        <v>28</v>
      </c>
      <c r="E49" s="8">
        <v>-17.181818</v>
      </c>
      <c r="F49" s="8">
        <v>-17.182</v>
      </c>
      <c r="G49" s="11">
        <v>554.3626094700001</v>
      </c>
      <c r="H49" s="11">
        <v>554.3100000000002</v>
      </c>
      <c r="I49" s="11">
        <f>H49-G49</f>
        <v>-0.052609469999879366</v>
      </c>
    </row>
    <row r="50" spans="1:9">
      <c r="A50" s="3" t="s">
        <v>168</v>
      </c>
      <c r="B50" s="3" t="s">
        <v>266</v>
      </c>
      <c r="C50" s="3">
        <v>11</v>
      </c>
      <c r="D50" s="3">
        <v>11</v>
      </c>
      <c r="E50" s="8">
        <v>-6.632657999999999</v>
      </c>
      <c r="F50" s="8">
        <v>-6.632999999999999</v>
      </c>
      <c r="G50" s="11">
        <v>1028.7781965</v>
      </c>
      <c r="H50" s="11">
        <v>1028.74</v>
      </c>
      <c r="I50" s="11">
        <f>H50-G50</f>
        <v>-0.03819650000036745</v>
      </c>
    </row>
    <row r="51" spans="1:9">
      <c r="A51" s="3" t="s">
        <v>168</v>
      </c>
      <c r="B51" s="3" t="s">
        <v>267</v>
      </c>
      <c r="C51" s="3">
        <v>18</v>
      </c>
      <c r="D51" s="3">
        <v>18</v>
      </c>
      <c r="E51" s="8">
        <v>-10.745315</v>
      </c>
      <c r="F51" s="8">
        <v>-10.746</v>
      </c>
      <c r="G51" s="11">
        <v>2187.8373032</v>
      </c>
      <c r="H51" s="11">
        <v>2187.74</v>
      </c>
      <c r="I51" s="11">
        <f>H51-G51</f>
        <v>-0.09730320000016945</v>
      </c>
    </row>
    <row r="52" spans="1:9">
      <c r="A52" s="3" t="s">
        <v>168</v>
      </c>
      <c r="B52" s="3" t="s">
        <v>268</v>
      </c>
      <c r="C52" s="3">
        <v>29</v>
      </c>
      <c r="D52" s="3">
        <v>29</v>
      </c>
      <c r="E52" s="8">
        <v>-17.181817</v>
      </c>
      <c r="F52" s="8">
        <v>-17.182</v>
      </c>
      <c r="G52" s="11">
        <v>5269.96725686</v>
      </c>
      <c r="H52" s="11">
        <v>5269.92</v>
      </c>
      <c r="I52" s="11">
        <f>H52-G52</f>
        <v>-0.04725685999983398</v>
      </c>
    </row>
    <row r="53" spans="1:9">
      <c r="A53" s="3" t="s">
        <v>168</v>
      </c>
      <c r="B53" s="3" t="s">
        <v>269</v>
      </c>
      <c r="C53" s="3">
        <v>29</v>
      </c>
      <c r="D53" s="3">
        <v>29</v>
      </c>
      <c r="E53" s="8">
        <v>-17.181817</v>
      </c>
      <c r="F53" s="8">
        <v>-17.182</v>
      </c>
      <c r="G53" s="11">
        <v>3629.44902401</v>
      </c>
      <c r="H53" s="11">
        <v>3629.42</v>
      </c>
      <c r="I53" s="11">
        <f>H53-G53</f>
        <v>-0.029024009999830014</v>
      </c>
    </row>
    <row r="54" spans="1:9">
      <c r="A54" s="3" t="s">
        <v>168</v>
      </c>
      <c r="B54" s="3" t="s">
        <v>270</v>
      </c>
      <c r="C54" s="3">
        <v>28</v>
      </c>
      <c r="D54" s="3">
        <v>28</v>
      </c>
      <c r="E54" s="8">
        <v>-17.181818</v>
      </c>
      <c r="F54" s="8">
        <v>-17.182</v>
      </c>
      <c r="G54" s="11">
        <v>5403.39704056</v>
      </c>
      <c r="H54" s="11">
        <v>5403.34</v>
      </c>
      <c r="I54" s="11">
        <f>H54-G54</f>
        <v>-0.057040560000132245</v>
      </c>
    </row>
    <row r="55" spans="1:9">
      <c r="A55" s="3" t="s">
        <v>168</v>
      </c>
      <c r="B55" s="3" t="s">
        <v>271</v>
      </c>
      <c r="C55" s="3">
        <v>29</v>
      </c>
      <c r="D55" s="3">
        <v>29</v>
      </c>
      <c r="E55" s="8">
        <v>-17.181817</v>
      </c>
      <c r="F55" s="8">
        <v>-17.182</v>
      </c>
      <c r="G55" s="11">
        <v>15418.912312</v>
      </c>
      <c r="H55" s="11">
        <v>15418.82</v>
      </c>
      <c r="I55" s="11">
        <f>H55-G55</f>
        <v>-0.09231200000067474</v>
      </c>
    </row>
    <row r="56" spans="1:9">
      <c r="A56" s="3" t="s">
        <v>168</v>
      </c>
      <c r="B56" s="3" t="s">
        <v>272</v>
      </c>
      <c r="C56" s="3">
        <v>29</v>
      </c>
      <c r="D56" s="3">
        <v>29</v>
      </c>
      <c r="E56" s="8">
        <v>-17.181817</v>
      </c>
      <c r="F56" s="8">
        <v>-17.182</v>
      </c>
      <c r="G56" s="11">
        <v>2599.115142889999</v>
      </c>
      <c r="H56" s="11">
        <v>2599.09</v>
      </c>
      <c r="I56" s="11">
        <f>H56-G56</f>
        <v>-0.0251428899991879</v>
      </c>
    </row>
    <row r="57" spans="1:9">
      <c r="A57" s="3" t="s">
        <v>168</v>
      </c>
      <c r="B57" s="3" t="s">
        <v>273</v>
      </c>
      <c r="C57" s="3">
        <v>28</v>
      </c>
      <c r="D57" s="3">
        <v>28</v>
      </c>
      <c r="E57" s="8">
        <v>-17.181818</v>
      </c>
      <c r="F57" s="8">
        <v>-17.182</v>
      </c>
      <c r="G57" s="11">
        <v>393.4694813000006</v>
      </c>
      <c r="H57" s="11">
        <v>393.4500000000002</v>
      </c>
      <c r="I57" s="11">
        <f>H57-G57</f>
        <v>-0.019481300000393276</v>
      </c>
    </row>
    <row r="58" spans="1:9">
      <c r="A58" s="3" t="s">
        <v>168</v>
      </c>
      <c r="B58" s="3" t="s">
        <v>274</v>
      </c>
      <c r="C58" s="3">
        <v>27</v>
      </c>
      <c r="D58" s="3">
        <v>27</v>
      </c>
      <c r="E58" s="8">
        <v>-17.181818</v>
      </c>
      <c r="F58" s="8">
        <v>-17.181</v>
      </c>
      <c r="G58" s="11">
        <v>8214.885481379999</v>
      </c>
      <c r="H58" s="11">
        <v>8215.039999999999</v>
      </c>
      <c r="I58" s="11">
        <f>H58-G58</f>
        <v>0.15451862000008987</v>
      </c>
    </row>
    <row r="59" spans="1:9">
      <c r="A59" s="3" t="s">
        <v>168</v>
      </c>
      <c r="B59" s="3" t="s">
        <v>275</v>
      </c>
      <c r="C59" s="3">
        <v>25</v>
      </c>
      <c r="D59" s="3">
        <v>25</v>
      </c>
      <c r="E59" s="8">
        <v>-14.868951</v>
      </c>
      <c r="F59" s="8">
        <v>-14.869</v>
      </c>
      <c r="G59" s="11">
        <v>18451.39950046</v>
      </c>
      <c r="H59" s="11">
        <v>18451.3</v>
      </c>
      <c r="I59" s="11">
        <f>H59-G59</f>
        <v>-0.09950046000085422</v>
      </c>
    </row>
    <row r="60" spans="1:9">
      <c r="A60" s="3" t="s">
        <v>168</v>
      </c>
      <c r="B60" s="3" t="s">
        <v>276</v>
      </c>
      <c r="C60" s="3">
        <v>28</v>
      </c>
      <c r="D60" s="3">
        <v>28</v>
      </c>
      <c r="E60" s="8">
        <v>-17.181818</v>
      </c>
      <c r="F60" s="8">
        <v>-17.181</v>
      </c>
      <c r="G60" s="11">
        <v>15461.0824663</v>
      </c>
      <c r="H60" s="11">
        <v>15461.2</v>
      </c>
      <c r="I60" s="11">
        <f>H60-G60</f>
        <v>0.11753370000042196</v>
      </c>
    </row>
    <row r="61" spans="1:9">
      <c r="A61" s="3" t="s">
        <v>168</v>
      </c>
      <c r="B61" s="3" t="s">
        <v>277</v>
      </c>
      <c r="C61" s="3">
        <v>29</v>
      </c>
      <c r="D61" s="3">
        <v>29</v>
      </c>
      <c r="E61" s="8">
        <v>-17.181817</v>
      </c>
      <c r="F61" s="8">
        <v>-17.182</v>
      </c>
      <c r="G61" s="11">
        <v>1848.06265736</v>
      </c>
      <c r="H61" s="11">
        <v>1848.04</v>
      </c>
      <c r="I61" s="11">
        <f>H61-G61</f>
        <v>-0.022657360000266635</v>
      </c>
    </row>
    <row r="62" spans="1:9">
      <c r="A62" s="3" t="s">
        <v>168</v>
      </c>
      <c r="B62" s="3" t="s">
        <v>278</v>
      </c>
      <c r="C62" s="3">
        <v>29</v>
      </c>
      <c r="D62" s="3">
        <v>29</v>
      </c>
      <c r="E62" s="8">
        <v>-17.181817</v>
      </c>
      <c r="F62" s="8">
        <v>-17.182</v>
      </c>
      <c r="G62" s="11">
        <v>1418.09142559</v>
      </c>
      <c r="H62" s="11">
        <v>1418.060000000001</v>
      </c>
      <c r="I62" s="11">
        <f>H62-G62</f>
        <v>-0.03142558999911671</v>
      </c>
    </row>
    <row r="63" spans="1:9">
      <c r="A63" s="3" t="s">
        <v>168</v>
      </c>
      <c r="B63" s="3" t="s">
        <v>279</v>
      </c>
      <c r="C63" s="3">
        <v>22</v>
      </c>
      <c r="D63" s="3">
        <v>22</v>
      </c>
      <c r="E63" s="8">
        <v>-13.448113</v>
      </c>
      <c r="F63" s="8">
        <v>-13.447</v>
      </c>
      <c r="G63" s="11">
        <v>430.2928935400001</v>
      </c>
      <c r="H63" s="11">
        <v>430.3799999999999</v>
      </c>
      <c r="I63" s="11">
        <f>H63-G63</f>
        <v>0.08710645999974531</v>
      </c>
    </row>
    <row r="64" spans="1:9">
      <c r="A64" s="3" t="s">
        <v>168</v>
      </c>
      <c r="B64" s="3" t="s">
        <v>280</v>
      </c>
      <c r="C64" s="3">
        <v>15</v>
      </c>
      <c r="D64" s="3">
        <v>15</v>
      </c>
      <c r="E64" s="8">
        <v>-9.152657999999999</v>
      </c>
      <c r="F64" s="8">
        <v>-9.153</v>
      </c>
      <c r="G64" s="11">
        <v>1285.76553036</v>
      </c>
      <c r="H64" s="11">
        <v>1285.73</v>
      </c>
      <c r="I64" s="11">
        <f>H64-G64</f>
        <v>-0.03553035999993881</v>
      </c>
    </row>
    <row r="65" spans="1:9">
      <c r="A65" s="3" t="s">
        <v>168</v>
      </c>
      <c r="B65" s="3" t="s">
        <v>281</v>
      </c>
      <c r="C65" s="3">
        <v>18</v>
      </c>
      <c r="D65" s="3">
        <v>18</v>
      </c>
      <c r="E65" s="8">
        <v>-10.745315</v>
      </c>
      <c r="F65" s="8">
        <v>-10.746</v>
      </c>
      <c r="G65" s="11">
        <v>231.9195253499995</v>
      </c>
      <c r="H65" s="11">
        <v>231.8599999999998</v>
      </c>
      <c r="I65" s="11">
        <f>H65-G65</f>
        <v>-0.05952534999971704</v>
      </c>
    </row>
    <row r="66" spans="1:9">
      <c r="A66" s="3" t="s">
        <v>168</v>
      </c>
      <c r="B66" s="3" t="s">
        <v>282</v>
      </c>
      <c r="C66" s="3">
        <v>20</v>
      </c>
      <c r="D66" s="3">
        <v>20</v>
      </c>
      <c r="E66" s="8">
        <v>-12.005315</v>
      </c>
      <c r="F66" s="8">
        <v>-12.006</v>
      </c>
      <c r="G66" s="11">
        <v>3117.698974349999</v>
      </c>
      <c r="H66" s="11">
        <v>3117.58</v>
      </c>
      <c r="I66" s="11">
        <f>H66-G66</f>
        <v>-0.11897434999946199</v>
      </c>
    </row>
    <row r="67" spans="1:9">
      <c r="A67" s="3" t="s">
        <v>168</v>
      </c>
      <c r="B67" s="3" t="s">
        <v>283</v>
      </c>
      <c r="C67" s="3">
        <v>29</v>
      </c>
      <c r="D67" s="3">
        <v>29</v>
      </c>
      <c r="E67" s="8">
        <v>-17.181817</v>
      </c>
      <c r="F67" s="8">
        <v>-17.182</v>
      </c>
      <c r="G67" s="11">
        <v>11998.36636044</v>
      </c>
      <c r="H67" s="11">
        <v>11998.27</v>
      </c>
      <c r="I67" s="11">
        <f>H67-G67</f>
        <v>-0.09636043999853428</v>
      </c>
    </row>
    <row r="68" spans="1:9">
      <c r="A68" s="3" t="s">
        <v>168</v>
      </c>
      <c r="B68" s="3" t="s">
        <v>284</v>
      </c>
      <c r="C68" s="3">
        <v>29</v>
      </c>
      <c r="D68" s="3">
        <v>29</v>
      </c>
      <c r="E68" s="8">
        <v>-17.181817</v>
      </c>
      <c r="F68" s="8">
        <v>-17.182</v>
      </c>
      <c r="G68" s="11">
        <v>2399.21175873</v>
      </c>
      <c r="H68" s="11">
        <v>2399.119999999999</v>
      </c>
      <c r="I68" s="11">
        <f>H68-G68</f>
        <v>-0.0917587300004925</v>
      </c>
    </row>
    <row r="69" spans="1:9">
      <c r="A69" s="3" t="s">
        <v>168</v>
      </c>
      <c r="B69" s="3" t="s">
        <v>285</v>
      </c>
      <c r="C69" s="3">
        <v>18</v>
      </c>
      <c r="D69" s="3">
        <v>18</v>
      </c>
      <c r="E69" s="8">
        <v>-10.745315</v>
      </c>
      <c r="F69" s="8">
        <v>-10.746</v>
      </c>
      <c r="G69" s="11">
        <v>5883.26536945</v>
      </c>
      <c r="H69" s="11">
        <v>5883.13</v>
      </c>
      <c r="I69" s="11">
        <f>H69-G69</f>
        <v>-0.13536944999941625</v>
      </c>
    </row>
    <row r="70" spans="1:9">
      <c r="A70" s="3" t="s">
        <v>168</v>
      </c>
      <c r="B70" s="3" t="s">
        <v>286</v>
      </c>
      <c r="C70" s="3">
        <v>18</v>
      </c>
      <c r="D70" s="3">
        <v>18</v>
      </c>
      <c r="E70" s="8">
        <v>-10.745315</v>
      </c>
      <c r="F70" s="8">
        <v>-10.746</v>
      </c>
      <c r="G70" s="11">
        <v>933.1135293499999</v>
      </c>
      <c r="H70" s="11">
        <v>933.0600000000001</v>
      </c>
      <c r="I70" s="11">
        <f>H70-G70</f>
        <v>-0.05352934999984882</v>
      </c>
    </row>
    <row r="71" spans="1:9">
      <c r="A71" s="3" t="s">
        <v>168</v>
      </c>
      <c r="B71" s="3" t="s">
        <v>287</v>
      </c>
      <c r="C71" s="3">
        <v>14</v>
      </c>
      <c r="D71" s="3">
        <v>14</v>
      </c>
      <c r="E71" s="8">
        <v>-8.590909</v>
      </c>
      <c r="F71" s="8">
        <v>-8.588999999999999</v>
      </c>
      <c r="G71" s="11">
        <v>2455.53906481</v>
      </c>
      <c r="H71" s="11">
        <v>2455.63</v>
      </c>
      <c r="I71" s="11">
        <f>H71-G71</f>
        <v>0.09093518999998196</v>
      </c>
    </row>
    <row r="72" spans="1:9">
      <c r="A72" s="3" t="s">
        <v>168</v>
      </c>
      <c r="B72" s="3" t="s">
        <v>288</v>
      </c>
      <c r="C72" s="3">
        <v>23</v>
      </c>
      <c r="D72" s="3">
        <v>23</v>
      </c>
      <c r="E72" s="8">
        <v>-14.318181</v>
      </c>
      <c r="F72" s="8">
        <v>-14.317</v>
      </c>
      <c r="G72" s="11">
        <v>4708.94227848</v>
      </c>
      <c r="H72" s="11">
        <v>4709.03</v>
      </c>
      <c r="I72" s="11">
        <f>H72-G72</f>
        <v>0.0877215199998318</v>
      </c>
    </row>
    <row r="73" spans="1:9">
      <c r="A73" s="3" t="s">
        <v>168</v>
      </c>
      <c r="B73" s="3" t="s">
        <v>289</v>
      </c>
      <c r="C73" s="3">
        <v>18</v>
      </c>
      <c r="D73" s="3">
        <v>18</v>
      </c>
      <c r="E73" s="8">
        <v>-10.745315</v>
      </c>
      <c r="F73" s="8">
        <v>-10.746</v>
      </c>
      <c r="G73" s="11">
        <v>1858.00852795</v>
      </c>
      <c r="H73" s="11">
        <v>1857.94</v>
      </c>
      <c r="I73" s="11">
        <f>H73-G73</f>
        <v>-0.06852794999986145</v>
      </c>
    </row>
    <row r="74" spans="1:9">
      <c r="A74" s="3" t="s">
        <v>168</v>
      </c>
      <c r="B74" s="3" t="s">
        <v>290</v>
      </c>
      <c r="C74" s="3">
        <v>18</v>
      </c>
      <c r="D74" s="3">
        <v>18</v>
      </c>
      <c r="E74" s="8">
        <v>-10.745315</v>
      </c>
      <c r="F74" s="8">
        <v>-10.746</v>
      </c>
      <c r="G74" s="11">
        <v>2679.986325450001</v>
      </c>
      <c r="H74" s="11">
        <v>2679.94</v>
      </c>
      <c r="I74" s="11">
        <f>H74-G74</f>
        <v>-0.046325450000949786</v>
      </c>
    </row>
    <row r="75" spans="1:9">
      <c r="A75" s="3" t="s">
        <v>168</v>
      </c>
      <c r="B75" s="3" t="s">
        <v>291</v>
      </c>
      <c r="C75" s="3">
        <v>26</v>
      </c>
      <c r="D75" s="3">
        <v>26</v>
      </c>
      <c r="E75" s="8">
        <v>-15.785315</v>
      </c>
      <c r="F75" s="8">
        <v>-15.786</v>
      </c>
      <c r="G75" s="11">
        <v>1802.21202275</v>
      </c>
      <c r="H75" s="11">
        <v>1802.13</v>
      </c>
      <c r="I75" s="11">
        <f>H75-G75</f>
        <v>-0.08202275000030568</v>
      </c>
    </row>
    <row r="76" spans="1:9">
      <c r="A76" s="3" t="s">
        <v>168</v>
      </c>
      <c r="B76" s="3" t="s">
        <v>292</v>
      </c>
      <c r="C76" s="3">
        <v>18</v>
      </c>
      <c r="D76" s="3">
        <v>18</v>
      </c>
      <c r="E76" s="8">
        <v>-10.745315</v>
      </c>
      <c r="F76" s="8">
        <v>-10.746</v>
      </c>
      <c r="G76" s="11">
        <v>3432.94114875</v>
      </c>
      <c r="H76" s="11">
        <v>3432.83</v>
      </c>
      <c r="I76" s="11">
        <f>H76-G76</f>
        <v>-0.1111487500002113</v>
      </c>
    </row>
    <row r="77" spans="1:9">
      <c r="A77" s="3" t="s">
        <v>168</v>
      </c>
      <c r="B77" s="3" t="s">
        <v>293</v>
      </c>
      <c r="C77" s="3">
        <v>23</v>
      </c>
      <c r="D77" s="3">
        <v>23</v>
      </c>
      <c r="E77" s="8">
        <v>-13.608951</v>
      </c>
      <c r="F77" s="8">
        <v>-13.609</v>
      </c>
      <c r="G77" s="11">
        <v>1804.14817205</v>
      </c>
      <c r="H77" s="11">
        <v>1804.12</v>
      </c>
      <c r="I77" s="11">
        <f>H77-G77</f>
        <v>-0.0281720499997391</v>
      </c>
    </row>
    <row r="78" spans="1:9">
      <c r="A78" s="3" t="s">
        <v>168</v>
      </c>
      <c r="B78" s="3" t="s">
        <v>294</v>
      </c>
      <c r="C78" s="3">
        <v>18</v>
      </c>
      <c r="D78" s="3">
        <v>18</v>
      </c>
      <c r="E78" s="8">
        <v>-10.745315</v>
      </c>
      <c r="F78" s="8">
        <v>-10.746</v>
      </c>
      <c r="G78" s="11">
        <v>1195.10581925</v>
      </c>
      <c r="H78" s="11">
        <v>1195.04</v>
      </c>
      <c r="I78" s="11">
        <f>H78-G78</f>
        <v>-0.06581925000045885</v>
      </c>
    </row>
    <row r="79" spans="1:9">
      <c r="A79" s="3" t="s">
        <v>168</v>
      </c>
      <c r="B79" s="3" t="s">
        <v>295</v>
      </c>
      <c r="C79" s="3">
        <v>18</v>
      </c>
      <c r="D79" s="3">
        <v>18</v>
      </c>
      <c r="E79" s="8">
        <v>-10.745315</v>
      </c>
      <c r="F79" s="8">
        <v>-10.746</v>
      </c>
      <c r="G79" s="11">
        <v>1471.763725249999</v>
      </c>
      <c r="H79" s="11">
        <v>1471.66</v>
      </c>
      <c r="I79" s="11">
        <f>H79-G79</f>
        <v>-0.10372524999911548</v>
      </c>
    </row>
    <row r="80" spans="1:9">
      <c r="A80" s="3" t="s">
        <v>168</v>
      </c>
      <c r="B80" s="3" t="s">
        <v>296</v>
      </c>
      <c r="C80" s="3">
        <v>25</v>
      </c>
      <c r="D80" s="3">
        <v>25</v>
      </c>
      <c r="E80" s="8">
        <v>-15.749999</v>
      </c>
      <c r="F80" s="8">
        <v>-15.749</v>
      </c>
      <c r="G80" s="11">
        <v>2873.92282442</v>
      </c>
      <c r="H80" s="11">
        <v>2874.01</v>
      </c>
      <c r="I80" s="11">
        <f>H80-G80</f>
        <v>0.08717557999989367</v>
      </c>
    </row>
    <row r="81" spans="1:9">
      <c r="A81" s="3" t="s">
        <v>168</v>
      </c>
      <c r="B81" s="3" t="s">
        <v>297</v>
      </c>
      <c r="C81" s="3">
        <v>24</v>
      </c>
      <c r="D81" s="3">
        <v>24</v>
      </c>
      <c r="E81" s="8">
        <v>-14.525315</v>
      </c>
      <c r="F81" s="8">
        <v>-14.526</v>
      </c>
      <c r="G81" s="11">
        <v>2718.137862</v>
      </c>
      <c r="H81" s="11">
        <v>2718.06</v>
      </c>
      <c r="I81" s="11">
        <f>H81-G81</f>
        <v>-0.07786200000055032</v>
      </c>
    </row>
    <row r="82" spans="1:9">
      <c r="A82" s="3" t="s">
        <v>168</v>
      </c>
      <c r="B82" s="3" t="s">
        <v>298</v>
      </c>
      <c r="C82" s="3">
        <v>26</v>
      </c>
      <c r="D82" s="3">
        <v>26</v>
      </c>
      <c r="E82" s="8">
        <v>-15.785315</v>
      </c>
      <c r="F82" s="8">
        <v>-15.786</v>
      </c>
      <c r="G82" s="11">
        <v>4830.3055354</v>
      </c>
      <c r="H82" s="11">
        <v>4830.18</v>
      </c>
      <c r="I82" s="11">
        <f>H82-G82</f>
        <v>-0.125535399999535</v>
      </c>
    </row>
    <row r="83" spans="1:9">
      <c r="A83" s="3" t="s">
        <v>168</v>
      </c>
      <c r="B83" s="3" t="s">
        <v>299</v>
      </c>
      <c r="C83" s="3">
        <v>29</v>
      </c>
      <c r="D83" s="3">
        <v>29</v>
      </c>
      <c r="E83" s="8">
        <v>-17.181818</v>
      </c>
      <c r="F83" s="8">
        <v>-17.182</v>
      </c>
      <c r="G83" s="11">
        <v>3701.30538138</v>
      </c>
      <c r="H83" s="11">
        <v>3701.2</v>
      </c>
      <c r="I83" s="11">
        <f>H83-G83</f>
        <v>-0.10538138000038089</v>
      </c>
    </row>
    <row r="84" spans="1:9">
      <c r="A84" s="3" t="s">
        <v>168</v>
      </c>
      <c r="B84" s="3" t="s">
        <v>300</v>
      </c>
      <c r="C84" s="3">
        <v>21</v>
      </c>
      <c r="D84" s="3">
        <v>21</v>
      </c>
      <c r="E84" s="8">
        <v>-12.177133</v>
      </c>
      <c r="F84" s="8">
        <v>-12.177</v>
      </c>
      <c r="G84" s="11">
        <v>1398.0641608</v>
      </c>
      <c r="H84" s="11">
        <v>1398.08</v>
      </c>
      <c r="I84" s="11">
        <f>H84-G84</f>
        <v>0.015839200000073106</v>
      </c>
    </row>
    <row r="85" spans="1:9">
      <c r="A85" s="3" t="s">
        <v>168</v>
      </c>
      <c r="B85" s="3" t="s">
        <v>301</v>
      </c>
      <c r="C85" s="3">
        <v>18</v>
      </c>
      <c r="D85" s="3">
        <v>18</v>
      </c>
      <c r="E85" s="8">
        <v>-10.745315</v>
      </c>
      <c r="F85" s="8">
        <v>-10.746</v>
      </c>
      <c r="G85" s="11">
        <v>734.9808668999998</v>
      </c>
      <c r="H85" s="11">
        <v>734.9100000000002</v>
      </c>
      <c r="I85" s="11">
        <f>H85-G85</f>
        <v>-0.07086689999960072</v>
      </c>
    </row>
    <row r="86" spans="1:9">
      <c r="A86" s="3" t="s">
        <v>168</v>
      </c>
      <c r="B86" s="3" t="s">
        <v>302</v>
      </c>
      <c r="C86" s="3">
        <v>18</v>
      </c>
      <c r="D86" s="3">
        <v>18</v>
      </c>
      <c r="E86" s="8">
        <v>-10.745315</v>
      </c>
      <c r="F86" s="8">
        <v>-10.746</v>
      </c>
      <c r="G86" s="11">
        <v>1475.32047965</v>
      </c>
      <c r="H86" s="11">
        <v>1475.22</v>
      </c>
      <c r="I86" s="11">
        <f>H86-G86</f>
        <v>-0.10047964999989745</v>
      </c>
    </row>
    <row r="87" spans="1:9">
      <c r="A87" s="3" t="s">
        <v>168</v>
      </c>
      <c r="B87" s="3" t="s">
        <v>303</v>
      </c>
      <c r="C87" s="3">
        <v>18</v>
      </c>
      <c r="D87" s="3">
        <v>18</v>
      </c>
      <c r="E87" s="8">
        <v>-10.745315</v>
      </c>
      <c r="F87" s="8">
        <v>-10.746</v>
      </c>
      <c r="G87" s="11">
        <v>1065.50884865</v>
      </c>
      <c r="H87" s="11">
        <v>1065.44</v>
      </c>
      <c r="I87" s="11">
        <f>H87-G87</f>
        <v>-0.0688486499998362</v>
      </c>
    </row>
    <row r="88" spans="1:9">
      <c r="A88" s="3" t="s">
        <v>168</v>
      </c>
      <c r="B88" s="3" t="s">
        <v>304</v>
      </c>
      <c r="C88" s="3">
        <v>18</v>
      </c>
      <c r="D88" s="3">
        <v>18</v>
      </c>
      <c r="E88" s="8">
        <v>-10.745315</v>
      </c>
      <c r="F88" s="8">
        <v>-10.746</v>
      </c>
      <c r="G88" s="11">
        <v>1208.09708635</v>
      </c>
      <c r="H88" s="11">
        <v>1208.01</v>
      </c>
      <c r="I88" s="11">
        <f>H88-G88</f>
        <v>-0.08708634999970855</v>
      </c>
    </row>
    <row r="89" spans="1:9">
      <c r="A89" s="3" t="s">
        <v>168</v>
      </c>
      <c r="B89" s="3" t="s">
        <v>305</v>
      </c>
      <c r="C89" s="3">
        <v>11</v>
      </c>
      <c r="D89" s="3">
        <v>11</v>
      </c>
      <c r="E89" s="8">
        <v>-6.632657999999999</v>
      </c>
      <c r="F89" s="8">
        <v>-6.632999999999999</v>
      </c>
      <c r="G89" s="11">
        <v>1040.85655386</v>
      </c>
      <c r="H89" s="11">
        <v>1040.84</v>
      </c>
      <c r="I89" s="11">
        <f>H89-G89</f>
        <v>-0.016553860000158238</v>
      </c>
    </row>
    <row r="90" spans="1:9">
      <c r="A90" s="3" t="s">
        <v>168</v>
      </c>
      <c r="B90" s="3" t="s">
        <v>306</v>
      </c>
      <c r="C90" s="3">
        <v>10</v>
      </c>
      <c r="D90" s="3">
        <v>10</v>
      </c>
      <c r="E90" s="8">
        <v>-6.299999999999999</v>
      </c>
      <c r="F90" s="8">
        <v>-6.300999999999999</v>
      </c>
      <c r="G90" s="11">
        <v>1100.01911076</v>
      </c>
      <c r="H90" s="11">
        <v>1099.9</v>
      </c>
      <c r="I90" s="11">
        <f>H90-G90</f>
        <v>-0.11911075999978493</v>
      </c>
    </row>
    <row r="91" spans="1:9">
      <c r="A91" s="3" t="s">
        <v>168</v>
      </c>
      <c r="B91" s="3" t="s">
        <v>307</v>
      </c>
      <c r="C91" s="3">
        <v>18</v>
      </c>
      <c r="D91" s="3">
        <v>18</v>
      </c>
      <c r="E91" s="8">
        <v>-10.745315</v>
      </c>
      <c r="F91" s="8">
        <v>-10.746</v>
      </c>
      <c r="G91" s="11">
        <v>852.2067800500002</v>
      </c>
      <c r="H91" s="11">
        <v>852.1599999999996</v>
      </c>
      <c r="I91" s="11">
        <f>H91-G91</f>
        <v>-0.04678005000062058</v>
      </c>
    </row>
    <row r="92" spans="1:9">
      <c r="A92" s="3" t="s">
        <v>168</v>
      </c>
      <c r="B92" s="3" t="s">
        <v>308</v>
      </c>
      <c r="C92" s="3">
        <v>22</v>
      </c>
      <c r="D92" s="3">
        <v>22</v>
      </c>
      <c r="E92" s="8">
        <v>-13.963568</v>
      </c>
      <c r="F92" s="8">
        <v>-13.963</v>
      </c>
      <c r="G92" s="11">
        <v>1510.30116823</v>
      </c>
      <c r="H92" s="11">
        <v>1510.34</v>
      </c>
      <c r="I92" s="11">
        <f>H92-G92</f>
        <v>0.03883176999988791</v>
      </c>
    </row>
    <row r="93" spans="1:9">
      <c r="A93" s="3" t="s">
        <v>168</v>
      </c>
      <c r="B93" s="3" t="s">
        <v>309</v>
      </c>
      <c r="C93" s="3">
        <v>21</v>
      </c>
      <c r="D93" s="3">
        <v>21</v>
      </c>
      <c r="E93" s="8">
        <v>-12.177133</v>
      </c>
      <c r="F93" s="8">
        <v>-12.177</v>
      </c>
      <c r="G93" s="11">
        <v>1205.139791599999</v>
      </c>
      <c r="H93" s="11">
        <v>1205.13</v>
      </c>
      <c r="I93" s="11">
        <f>H93-G93</f>
        <v>-0.00979159999951662</v>
      </c>
    </row>
    <row r="94" spans="1:9">
      <c r="A94" s="3" t="s">
        <v>168</v>
      </c>
      <c r="B94" s="3" t="s">
        <v>310</v>
      </c>
      <c r="C94" s="3">
        <v>25</v>
      </c>
      <c r="D94" s="3">
        <v>25</v>
      </c>
      <c r="E94" s="8">
        <v>-15.75</v>
      </c>
      <c r="F94" s="8">
        <v>-15.749</v>
      </c>
      <c r="G94" s="11">
        <v>2235.30295419</v>
      </c>
      <c r="H94" s="11">
        <v>2235.37</v>
      </c>
      <c r="I94" s="11">
        <f>H94-G94</f>
        <v>0.06704581000030885</v>
      </c>
    </row>
    <row r="95" spans="1:9">
      <c r="A95" s="3" t="s">
        <v>168</v>
      </c>
      <c r="B95" s="3" t="s">
        <v>311</v>
      </c>
      <c r="C95" s="3">
        <v>29</v>
      </c>
      <c r="D95" s="3">
        <v>29</v>
      </c>
      <c r="E95" s="8">
        <v>-17.181817</v>
      </c>
      <c r="F95" s="8">
        <v>-17.182</v>
      </c>
      <c r="G95" s="11">
        <v>2020.89493895</v>
      </c>
      <c r="H95" s="11">
        <v>2020.9</v>
      </c>
      <c r="I95" s="11">
        <f>H95-G95</f>
        <v>0.005061049999994793</v>
      </c>
    </row>
    <row r="96" spans="1:9">
      <c r="A96" s="3" t="s">
        <v>168</v>
      </c>
      <c r="B96" s="3" t="s">
        <v>312</v>
      </c>
      <c r="C96" s="3">
        <v>26</v>
      </c>
      <c r="D96" s="3">
        <v>26</v>
      </c>
      <c r="E96" s="8">
        <v>-16.117974</v>
      </c>
      <c r="F96" s="8">
        <v>-16.119</v>
      </c>
      <c r="G96" s="11">
        <v>1732.18223673</v>
      </c>
      <c r="H96" s="11">
        <v>1732.12</v>
      </c>
      <c r="I96" s="11">
        <f>H96-G96</f>
        <v>-0.062236729999767704</v>
      </c>
    </row>
    <row r="97" spans="1:9">
      <c r="A97" s="3" t="s">
        <v>168</v>
      </c>
      <c r="B97" s="3" t="s">
        <v>313</v>
      </c>
      <c r="C97" s="3">
        <v>14</v>
      </c>
      <c r="D97" s="3">
        <v>14</v>
      </c>
      <c r="E97" s="8">
        <v>-8.064475999999999</v>
      </c>
      <c r="F97" s="8">
        <v>-8.064</v>
      </c>
      <c r="G97" s="11">
        <v>3273.35176404</v>
      </c>
      <c r="H97" s="11">
        <v>3273.37</v>
      </c>
      <c r="I97" s="11">
        <f>H97-G97</f>
        <v>0.018235959999856277</v>
      </c>
    </row>
    <row r="98" spans="1:9">
      <c r="A98" s="3" t="s">
        <v>168</v>
      </c>
      <c r="B98" s="3" t="s">
        <v>314</v>
      </c>
      <c r="C98" s="3">
        <v>14</v>
      </c>
      <c r="D98" s="3">
        <v>14</v>
      </c>
      <c r="E98" s="8">
        <v>-8.236293999999999</v>
      </c>
      <c r="F98" s="8">
        <v>-8.236000000000001</v>
      </c>
      <c r="G98" s="11">
        <v>860.0179181599999</v>
      </c>
      <c r="H98" s="11">
        <v>860.04</v>
      </c>
      <c r="I98" s="11">
        <f>H98-G98</f>
        <v>0.02208184000005531</v>
      </c>
    </row>
    <row r="99" spans="1:9">
      <c r="A99" s="3" t="s">
        <v>168</v>
      </c>
      <c r="B99" s="3" t="s">
        <v>315</v>
      </c>
      <c r="C99" s="3">
        <v>9</v>
      </c>
      <c r="D99" s="3">
        <v>9</v>
      </c>
      <c r="E99" s="8">
        <v>-5.372657999999999</v>
      </c>
      <c r="F99" s="8">
        <v>-5.373</v>
      </c>
      <c r="G99" s="11">
        <v>1020.8021655</v>
      </c>
      <c r="H99" s="11">
        <v>1020.75</v>
      </c>
      <c r="I99" s="11">
        <f>H99-G99</f>
        <v>-0.05216550000045572</v>
      </c>
    </row>
    <row r="100" spans="1:9">
      <c r="A100" s="3" t="s">
        <v>168</v>
      </c>
      <c r="B100" s="3" t="s">
        <v>316</v>
      </c>
      <c r="C100" s="3">
        <v>18</v>
      </c>
      <c r="D100" s="3">
        <v>18</v>
      </c>
      <c r="E100" s="8">
        <v>-10.745315</v>
      </c>
      <c r="F100" s="8">
        <v>-10.746</v>
      </c>
      <c r="G100" s="11">
        <v>8661.025679449998</v>
      </c>
      <c r="H100" s="11">
        <v>8660.85</v>
      </c>
      <c r="I100" s="11">
        <f>H100-G100</f>
        <v>-0.17567944999791507</v>
      </c>
    </row>
    <row r="101" spans="1:9">
      <c r="A101" s="3" t="s">
        <v>168</v>
      </c>
      <c r="B101" s="3" t="s">
        <v>317</v>
      </c>
      <c r="C101" s="3">
        <v>26</v>
      </c>
      <c r="D101" s="3">
        <v>26</v>
      </c>
      <c r="E101" s="8">
        <v>-15.785315</v>
      </c>
      <c r="F101" s="8">
        <v>-15.786</v>
      </c>
      <c r="G101" s="11">
        <v>3936.81774365</v>
      </c>
      <c r="H101" s="11">
        <v>3936.69</v>
      </c>
      <c r="I101" s="11">
        <f>H101-G101</f>
        <v>-0.1277436499999567</v>
      </c>
    </row>
    <row r="102" spans="1:9">
      <c r="A102" s="3" t="s">
        <v>168</v>
      </c>
      <c r="B102" s="3" t="s">
        <v>318</v>
      </c>
      <c r="C102" s="3">
        <v>29</v>
      </c>
      <c r="D102" s="3">
        <v>29</v>
      </c>
      <c r="E102" s="8">
        <v>-17.181817</v>
      </c>
      <c r="F102" s="8">
        <v>-17.182</v>
      </c>
      <c r="G102" s="11">
        <v>2122.47849318</v>
      </c>
      <c r="H102" s="11">
        <v>2122.4</v>
      </c>
      <c r="I102" s="11">
        <f>H102-G102</f>
        <v>-0.07849318000035055</v>
      </c>
    </row>
    <row r="103" spans="1:9">
      <c r="A103" s="3" t="s">
        <v>168</v>
      </c>
      <c r="B103" s="3" t="s">
        <v>319</v>
      </c>
      <c r="C103" s="3">
        <v>28</v>
      </c>
      <c r="D103" s="3">
        <v>28</v>
      </c>
      <c r="E103" s="8">
        <v>-17.181817</v>
      </c>
      <c r="F103" s="8">
        <v>-17.181</v>
      </c>
      <c r="G103" s="11">
        <v>5753.48471747</v>
      </c>
      <c r="H103" s="11">
        <v>5753.6</v>
      </c>
      <c r="I103" s="11">
        <f>H103-G103</f>
        <v>0.11528253000051336</v>
      </c>
    </row>
    <row r="104" spans="1:9">
      <c r="A104" s="3" t="s">
        <v>168</v>
      </c>
      <c r="B104" s="3" t="s">
        <v>320</v>
      </c>
      <c r="C104" s="3">
        <v>18</v>
      </c>
      <c r="D104" s="3">
        <v>18</v>
      </c>
      <c r="E104" s="8">
        <v>-10.745315</v>
      </c>
      <c r="F104" s="8">
        <v>-10.746</v>
      </c>
      <c r="G104" s="11">
        <v>1318.5449099</v>
      </c>
      <c r="H104" s="11">
        <v>1318.46</v>
      </c>
      <c r="I104" s="11">
        <f>H104-G104</f>
        <v>-0.08490989999950216</v>
      </c>
    </row>
    <row r="105" spans="1:9">
      <c r="A105" s="3" t="s">
        <v>168</v>
      </c>
      <c r="B105" s="3" t="s">
        <v>321</v>
      </c>
      <c r="C105" s="3">
        <v>20</v>
      </c>
      <c r="D105" s="3">
        <v>20</v>
      </c>
      <c r="E105" s="8">
        <v>-12.177134</v>
      </c>
      <c r="F105" s="8">
        <v>-12.177</v>
      </c>
      <c r="G105" s="11">
        <v>3598.01346652</v>
      </c>
      <c r="H105" s="11">
        <v>3597.96</v>
      </c>
      <c r="I105" s="11">
        <f>H105-G105</f>
        <v>-0.05346652000025642</v>
      </c>
    </row>
    <row r="106" spans="1:9">
      <c r="A106" s="3" t="s">
        <v>168</v>
      </c>
      <c r="B106" s="3" t="s">
        <v>322</v>
      </c>
      <c r="C106" s="3">
        <v>15</v>
      </c>
      <c r="D106" s="3">
        <v>15</v>
      </c>
      <c r="E106" s="8">
        <v>-9.324477000000002</v>
      </c>
      <c r="F106" s="8">
        <v>-9.324</v>
      </c>
      <c r="G106" s="11">
        <v>1391.31989487</v>
      </c>
      <c r="H106" s="11">
        <v>1391.33</v>
      </c>
      <c r="I106" s="11">
        <f>H106-G106</f>
        <v>0.010105129999828932</v>
      </c>
    </row>
    <row r="107" spans="1:9">
      <c r="A107" s="3" t="s">
        <v>168</v>
      </c>
      <c r="B107" s="3" t="s">
        <v>323</v>
      </c>
      <c r="C107" s="3">
        <v>20</v>
      </c>
      <c r="D107" s="3">
        <v>20</v>
      </c>
      <c r="E107" s="8">
        <v>-12.177134</v>
      </c>
      <c r="F107" s="8">
        <v>-12.177</v>
      </c>
      <c r="G107" s="11">
        <v>2052.74871279</v>
      </c>
      <c r="H107" s="11">
        <v>2052.72</v>
      </c>
      <c r="I107" s="11">
        <f>H107-G107</f>
        <v>-0.02871279000009963</v>
      </c>
    </row>
    <row r="108" spans="1:9">
      <c r="A108" s="3" t="s">
        <v>168</v>
      </c>
      <c r="B108" s="3" t="s">
        <v>324</v>
      </c>
      <c r="C108" s="3">
        <v>18</v>
      </c>
      <c r="D108" s="3">
        <v>18</v>
      </c>
      <c r="E108" s="8">
        <v>-10.745315</v>
      </c>
      <c r="F108" s="8">
        <v>-10.746</v>
      </c>
      <c r="G108" s="11">
        <v>2417.35661505</v>
      </c>
      <c r="H108" s="11">
        <v>2417.25</v>
      </c>
      <c r="I108" s="11">
        <f>H108-G108</f>
        <v>-0.1066150500000731</v>
      </c>
    </row>
    <row r="109" spans="1:9">
      <c r="A109" s="3" t="s">
        <v>168</v>
      </c>
      <c r="B109" s="3" t="s">
        <v>325</v>
      </c>
      <c r="C109" s="3">
        <v>18</v>
      </c>
      <c r="D109" s="3">
        <v>18</v>
      </c>
      <c r="E109" s="8">
        <v>-10.745315</v>
      </c>
      <c r="F109" s="8">
        <v>-10.746</v>
      </c>
      <c r="G109" s="11">
        <v>2836.8574111</v>
      </c>
      <c r="H109" s="11">
        <v>2836.76</v>
      </c>
      <c r="I109" s="11">
        <f>H109-G109</f>
        <v>-0.09741109999959008</v>
      </c>
    </row>
    <row r="110" spans="1:9">
      <c r="A110" s="3" t="s">
        <v>168</v>
      </c>
      <c r="B110" s="3" t="s">
        <v>326</v>
      </c>
      <c r="C110" s="3">
        <v>18</v>
      </c>
      <c r="D110" s="3">
        <v>18</v>
      </c>
      <c r="E110" s="8">
        <v>-10.745315</v>
      </c>
      <c r="F110" s="8">
        <v>-10.746</v>
      </c>
      <c r="G110" s="11">
        <v>3354.33018385</v>
      </c>
      <c r="H110" s="11">
        <v>3354.23</v>
      </c>
      <c r="I110" s="11">
        <f>H110-G110</f>
        <v>-0.10018384999966656</v>
      </c>
    </row>
    <row r="111" spans="1:9">
      <c r="A111" s="3" t="s">
        <v>168</v>
      </c>
      <c r="B111" s="3" t="s">
        <v>327</v>
      </c>
      <c r="C111" s="3">
        <v>21</v>
      </c>
      <c r="D111" s="3">
        <v>21</v>
      </c>
      <c r="E111" s="8">
        <v>-12.177133</v>
      </c>
      <c r="F111" s="8">
        <v>-12.177</v>
      </c>
      <c r="G111" s="11">
        <v>6004.70289937</v>
      </c>
      <c r="H111" s="11">
        <v>6004.66</v>
      </c>
      <c r="I111" s="11">
        <f>H111-G111</f>
        <v>-0.042899369999759074</v>
      </c>
    </row>
    <row r="112" spans="1:9">
      <c r="A112" s="3" t="s">
        <v>168</v>
      </c>
      <c r="B112" s="3" t="s">
        <v>328</v>
      </c>
      <c r="C112" s="3">
        <v>18</v>
      </c>
      <c r="D112" s="3">
        <v>10</v>
      </c>
      <c r="E112" s="8">
        <v>-10.745315</v>
      </c>
      <c r="F112" s="8">
        <v>-55.272</v>
      </c>
      <c r="G112" s="11">
        <v>2175.369635</v>
      </c>
      <c r="H112" s="11">
        <v>-4709.04</v>
      </c>
      <c r="I112" s="11">
        <f>H112-G112</f>
        <v>-6884.409635</v>
      </c>
    </row>
    <row r="113" spans="1:9">
      <c r="A113" s="3" t="s">
        <v>168</v>
      </c>
      <c r="B113" s="3" t="s">
        <v>329</v>
      </c>
      <c r="C113" s="3">
        <v>18</v>
      </c>
      <c r="D113" s="3">
        <v>18</v>
      </c>
      <c r="E113" s="8">
        <v>-10.745315</v>
      </c>
      <c r="F113" s="8">
        <v>-10.746</v>
      </c>
      <c r="G113" s="11">
        <v>1851.2981889</v>
      </c>
      <c r="H113" s="11">
        <v>1851.21</v>
      </c>
      <c r="I113" s="11">
        <f>H113-G113</f>
        <v>-0.08818889999952262</v>
      </c>
    </row>
    <row r="114" spans="1:9">
      <c r="A114" s="3" t="s">
        <v>168</v>
      </c>
      <c r="B114" s="3" t="s">
        <v>330</v>
      </c>
      <c r="C114" s="3">
        <v>18</v>
      </c>
      <c r="D114" s="3">
        <v>18</v>
      </c>
      <c r="E114" s="8">
        <v>-10.745315</v>
      </c>
      <c r="F114" s="8">
        <v>-10.746</v>
      </c>
      <c r="G114" s="11">
        <v>6002.725078050001</v>
      </c>
      <c r="H114" s="11">
        <v>6002.59</v>
      </c>
      <c r="I114" s="11">
        <f>H114-G114</f>
        <v>-0.13507805000062945</v>
      </c>
    </row>
    <row r="115" spans="1:9">
      <c r="A115" s="3" t="s">
        <v>168</v>
      </c>
      <c r="B115" s="3" t="s">
        <v>331</v>
      </c>
      <c r="C115" s="3">
        <v>27</v>
      </c>
      <c r="D115" s="3">
        <v>27</v>
      </c>
      <c r="E115" s="8">
        <v>-16.472588</v>
      </c>
      <c r="F115" s="8">
        <v>-16.473</v>
      </c>
      <c r="G115" s="11">
        <v>14575.06726491</v>
      </c>
      <c r="H115" s="11">
        <v>14574.84</v>
      </c>
      <c r="I115" s="11">
        <f>H115-G115</f>
        <v>-0.22726490999957605</v>
      </c>
    </row>
    <row r="116" spans="1:9">
      <c r="A116" s="3" t="s">
        <v>168</v>
      </c>
      <c r="B116" s="3" t="s">
        <v>332</v>
      </c>
      <c r="C116" s="3">
        <v>28</v>
      </c>
      <c r="D116" s="3">
        <v>28</v>
      </c>
      <c r="E116" s="8">
        <v>-17.181818</v>
      </c>
      <c r="F116" s="8">
        <v>-17.182</v>
      </c>
      <c r="G116" s="11">
        <v>5400.94085168</v>
      </c>
      <c r="H116" s="11">
        <v>5400.89</v>
      </c>
      <c r="I116" s="11">
        <f>H116-G116</f>
        <v>-0.05085168000005069</v>
      </c>
    </row>
    <row r="117" spans="1:9">
      <c r="A117" s="3" t="s">
        <v>168</v>
      </c>
      <c r="B117" s="3" t="s">
        <v>333</v>
      </c>
      <c r="C117" s="3">
        <v>28</v>
      </c>
      <c r="D117" s="3">
        <v>28</v>
      </c>
      <c r="E117" s="8">
        <v>-17.181818</v>
      </c>
      <c r="F117" s="8">
        <v>-17.182</v>
      </c>
      <c r="G117" s="11">
        <v>3989.94944935</v>
      </c>
      <c r="H117" s="11">
        <v>3989.87</v>
      </c>
      <c r="I117" s="11">
        <f>H117-G117</f>
        <v>-0.07944935000023179</v>
      </c>
    </row>
    <row r="118" spans="1:9">
      <c r="A118" s="3" t="s">
        <v>168</v>
      </c>
      <c r="B118" s="3" t="s">
        <v>334</v>
      </c>
      <c r="C118" s="3">
        <v>27</v>
      </c>
      <c r="D118" s="3">
        <v>27</v>
      </c>
      <c r="E118" s="8">
        <v>-17.181819</v>
      </c>
      <c r="F118" s="8">
        <v>-17.18</v>
      </c>
      <c r="G118" s="11">
        <v>4103.81063006</v>
      </c>
      <c r="H118" s="11">
        <v>4103.98</v>
      </c>
      <c r="I118" s="11">
        <f>H118-G118</f>
        <v>0.16936993999934202</v>
      </c>
    </row>
    <row r="119" spans="1:9">
      <c r="A119" s="3" t="s">
        <v>168</v>
      </c>
      <c r="B119" s="3" t="s">
        <v>335</v>
      </c>
      <c r="C119" s="3">
        <v>25</v>
      </c>
      <c r="D119" s="3">
        <v>25</v>
      </c>
      <c r="E119" s="8">
        <v>-15.75</v>
      </c>
      <c r="F119" s="8">
        <v>-15.748</v>
      </c>
      <c r="G119" s="11">
        <v>1603.214363970001</v>
      </c>
      <c r="H119" s="11">
        <v>1603.43</v>
      </c>
      <c r="I119" s="11">
        <f>H119-G119</f>
        <v>0.215636029999132</v>
      </c>
    </row>
    <row r="120" spans="1:9">
      <c r="A120" s="3" t="s">
        <v>168</v>
      </c>
      <c r="B120" s="3" t="s">
        <v>336</v>
      </c>
      <c r="C120" s="3">
        <v>23</v>
      </c>
      <c r="D120" s="3">
        <v>23</v>
      </c>
      <c r="E120" s="8">
        <v>-14.525317</v>
      </c>
      <c r="F120" s="8">
        <v>-14.526</v>
      </c>
      <c r="G120" s="11">
        <v>-326.6522889099999</v>
      </c>
      <c r="H120" s="11">
        <v>-326.7500000000005</v>
      </c>
      <c r="I120" s="11">
        <f>H120-G120</f>
        <v>-0.09771109000053002</v>
      </c>
    </row>
    <row r="121" spans="1:9">
      <c r="A121" s="3" t="s">
        <v>168</v>
      </c>
      <c r="B121" s="3" t="s">
        <v>337</v>
      </c>
      <c r="C121" s="3">
        <v>18</v>
      </c>
      <c r="D121" s="3">
        <v>18</v>
      </c>
      <c r="E121" s="8">
        <v>-10.745315</v>
      </c>
      <c r="F121" s="8">
        <v>-10.746</v>
      </c>
      <c r="G121" s="11">
        <v>5064.1362128</v>
      </c>
      <c r="H121" s="11">
        <v>5064.01</v>
      </c>
      <c r="I121" s="11">
        <f>H121-G121</f>
        <v>-0.12621279999984836</v>
      </c>
    </row>
    <row r="122" spans="1:9">
      <c r="A122" s="3" t="s">
        <v>168</v>
      </c>
      <c r="B122" s="3" t="s">
        <v>338</v>
      </c>
      <c r="C122" s="3">
        <v>23</v>
      </c>
      <c r="D122" s="3">
        <v>23</v>
      </c>
      <c r="E122" s="8">
        <v>-13.608951</v>
      </c>
      <c r="F122" s="8">
        <v>-13.609</v>
      </c>
      <c r="G122" s="11">
        <v>2442.31422877</v>
      </c>
      <c r="H122" s="11">
        <v>2442.27</v>
      </c>
      <c r="I122" s="11">
        <f>H122-G122</f>
        <v>-0.044228770000700024</v>
      </c>
    </row>
    <row r="123" spans="1:9">
      <c r="A123" s="3" t="s">
        <v>168</v>
      </c>
      <c r="B123" s="3" t="s">
        <v>339</v>
      </c>
      <c r="C123" s="3">
        <v>29</v>
      </c>
      <c r="D123" s="3">
        <v>29</v>
      </c>
      <c r="E123" s="8">
        <v>-17.181817</v>
      </c>
      <c r="F123" s="8">
        <v>-17.182</v>
      </c>
      <c r="G123" s="11">
        <v>4001.3294537</v>
      </c>
      <c r="H123" s="11">
        <v>4001.25</v>
      </c>
      <c r="I123" s="11">
        <f>H123-G123</f>
        <v>-0.07945369999970353</v>
      </c>
    </row>
    <row r="124" spans="1:9">
      <c r="A124" s="3" t="s">
        <v>168</v>
      </c>
      <c r="B124" s="3" t="s">
        <v>340</v>
      </c>
      <c r="C124" s="3">
        <v>18</v>
      </c>
      <c r="D124" s="3">
        <v>18</v>
      </c>
      <c r="E124" s="8">
        <v>-10.745315</v>
      </c>
      <c r="F124" s="8">
        <v>-10.746</v>
      </c>
      <c r="G124" s="11">
        <v>3936.08710735</v>
      </c>
      <c r="H124" s="11">
        <v>3935.96</v>
      </c>
      <c r="I124" s="11">
        <f>H124-G124</f>
        <v>-0.12710735000064233</v>
      </c>
    </row>
    <row r="125" spans="1:9">
      <c r="A125" s="3" t="s">
        <v>168</v>
      </c>
      <c r="B125" s="3" t="s">
        <v>341</v>
      </c>
      <c r="C125" s="3">
        <v>18</v>
      </c>
      <c r="D125" s="3">
        <v>18</v>
      </c>
      <c r="E125" s="8">
        <v>-10.745315</v>
      </c>
      <c r="F125" s="8">
        <v>-10.746</v>
      </c>
      <c r="G125" s="11">
        <v>2124.445787050001</v>
      </c>
      <c r="H125" s="11">
        <v>2124.34</v>
      </c>
      <c r="I125" s="11">
        <f>H125-G125</f>
        <v>-0.10578705000079935</v>
      </c>
    </row>
    <row r="126" spans="1:9">
      <c r="A126" s="3" t="s">
        <v>168</v>
      </c>
      <c r="B126" s="3" t="s">
        <v>342</v>
      </c>
      <c r="C126" s="3">
        <v>17</v>
      </c>
      <c r="D126" s="3">
        <v>17</v>
      </c>
      <c r="E126" s="8">
        <v>-10.412658</v>
      </c>
      <c r="F126" s="8">
        <v>-10.413</v>
      </c>
      <c r="G126" s="11">
        <v>1852.65609228</v>
      </c>
      <c r="H126" s="11">
        <v>1852.58</v>
      </c>
      <c r="I126" s="11">
        <f>H126-G126</f>
        <v>-0.07609228000046642</v>
      </c>
    </row>
    <row r="127" spans="1:9">
      <c r="A127" s="3" t="s">
        <v>168</v>
      </c>
      <c r="B127" s="3" t="s">
        <v>343</v>
      </c>
      <c r="C127" s="3">
        <v>13</v>
      </c>
      <c r="D127" s="3">
        <v>13</v>
      </c>
      <c r="E127" s="8">
        <v>-7.892658000000001</v>
      </c>
      <c r="F127" s="8">
        <v>-7.893000000000001</v>
      </c>
      <c r="G127" s="11">
        <v>1332.765028920001</v>
      </c>
      <c r="H127" s="11">
        <v>1332.71</v>
      </c>
      <c r="I127" s="11">
        <f>H127-G127</f>
        <v>-0.05502892000049542</v>
      </c>
    </row>
    <row r="128" spans="1:9">
      <c r="A128" s="3" t="s">
        <v>168</v>
      </c>
      <c r="B128" s="3" t="s">
        <v>344</v>
      </c>
      <c r="C128" s="3">
        <v>18</v>
      </c>
      <c r="D128" s="3">
        <v>18</v>
      </c>
      <c r="E128" s="8">
        <v>-10.745315</v>
      </c>
      <c r="F128" s="8">
        <v>-10.746</v>
      </c>
      <c r="G128" s="11">
        <v>384.4754620000002</v>
      </c>
      <c r="H128" s="11">
        <v>384.4</v>
      </c>
      <c r="I128" s="11">
        <f>H128-G128</f>
        <v>-0.07546200000024328</v>
      </c>
    </row>
    <row r="129" spans="1:9">
      <c r="A129" s="3" t="s">
        <v>168</v>
      </c>
      <c r="B129" s="3" t="s">
        <v>345</v>
      </c>
      <c r="C129" s="3">
        <v>29</v>
      </c>
      <c r="D129" s="3">
        <v>29</v>
      </c>
      <c r="E129" s="8">
        <v>-17.181817</v>
      </c>
      <c r="F129" s="8">
        <v>-17.182</v>
      </c>
      <c r="G129" s="11">
        <v>1841.121959540001</v>
      </c>
      <c r="H129" s="11">
        <v>1841.11</v>
      </c>
      <c r="I129" s="11">
        <f>H129-G129</f>
        <v>-0.011959540001043933</v>
      </c>
    </row>
    <row r="130" spans="1:9">
      <c r="A130" s="3" t="s">
        <v>168</v>
      </c>
      <c r="B130" s="3" t="s">
        <v>346</v>
      </c>
      <c r="C130" s="3">
        <v>29</v>
      </c>
      <c r="D130" s="3">
        <v>29</v>
      </c>
      <c r="E130" s="8">
        <v>-17.181817</v>
      </c>
      <c r="F130" s="8">
        <v>-17.182</v>
      </c>
      <c r="G130" s="11">
        <v>2859.31402437</v>
      </c>
      <c r="H130" s="11">
        <v>2859.28</v>
      </c>
      <c r="I130" s="11">
        <f>H130-G130</f>
        <v>-0.03402436999976999</v>
      </c>
    </row>
    <row r="131" spans="1:9">
      <c r="A131" s="3" t="s">
        <v>168</v>
      </c>
      <c r="B131" s="3" t="s">
        <v>347</v>
      </c>
      <c r="C131" s="3">
        <v>29</v>
      </c>
      <c r="D131" s="3">
        <v>29</v>
      </c>
      <c r="E131" s="8">
        <v>-17.181817</v>
      </c>
      <c r="F131" s="8">
        <v>-17.182</v>
      </c>
      <c r="G131" s="11">
        <v>2773.60697054</v>
      </c>
      <c r="H131" s="11">
        <v>2773.559999999999</v>
      </c>
      <c r="I131" s="11">
        <f>H131-G131</f>
        <v>-0.04697054000052958</v>
      </c>
    </row>
    <row r="132" spans="1:9">
      <c r="A132" s="3" t="s">
        <v>168</v>
      </c>
      <c r="B132" s="3" t="s">
        <v>348</v>
      </c>
      <c r="C132" s="3">
        <v>28</v>
      </c>
      <c r="D132" s="3">
        <v>28</v>
      </c>
      <c r="E132" s="8">
        <v>-17.181817</v>
      </c>
      <c r="F132" s="8">
        <v>-17.181</v>
      </c>
      <c r="G132" s="11">
        <v>1578.974747939999</v>
      </c>
      <c r="H132" s="11">
        <v>1579.09</v>
      </c>
      <c r="I132" s="11">
        <f>H132-G132</f>
        <v>0.11525206000032995</v>
      </c>
    </row>
    <row r="133" spans="1:9">
      <c r="A133" s="3" t="s">
        <v>168</v>
      </c>
      <c r="B133" s="3" t="s">
        <v>349</v>
      </c>
      <c r="C133" s="3">
        <v>14</v>
      </c>
      <c r="D133" s="3">
        <v>14</v>
      </c>
      <c r="E133" s="8">
        <v>-8.419090000000001</v>
      </c>
      <c r="F133" s="8">
        <v>-8.417999999999999</v>
      </c>
      <c r="G133" s="11">
        <v>1564.0772656</v>
      </c>
      <c r="H133" s="11">
        <v>1564.2</v>
      </c>
      <c r="I133" s="11">
        <f>H133-G133</f>
        <v>0.12273439999967195</v>
      </c>
    </row>
    <row r="134" spans="1:9">
      <c r="A134" s="3" t="s">
        <v>168</v>
      </c>
      <c r="B134" s="3" t="s">
        <v>350</v>
      </c>
      <c r="C134" s="3">
        <v>12</v>
      </c>
      <c r="D134" s="3">
        <v>12</v>
      </c>
      <c r="E134" s="8">
        <v>-7.15909</v>
      </c>
      <c r="F134" s="8">
        <v>-7.158</v>
      </c>
      <c r="G134" s="11">
        <v>1315.5610633</v>
      </c>
      <c r="H134" s="11">
        <v>1315.66</v>
      </c>
      <c r="I134" s="11">
        <f>H134-G134</f>
        <v>0.09893669999974009</v>
      </c>
    </row>
    <row r="135" spans="1:9">
      <c r="A135" s="3" t="s">
        <v>168</v>
      </c>
      <c r="B135" s="3" t="s">
        <v>351</v>
      </c>
      <c r="C135" s="3">
        <v>23</v>
      </c>
      <c r="D135" s="3">
        <v>23</v>
      </c>
      <c r="E135" s="8">
        <v>-13.608951</v>
      </c>
      <c r="F135" s="8">
        <v>-13.609</v>
      </c>
      <c r="G135" s="11">
        <v>7457.09241017</v>
      </c>
      <c r="H135" s="11">
        <v>7456.969999999999</v>
      </c>
      <c r="I135" s="11">
        <f>H135-G135</f>
        <v>-0.12241017000087595</v>
      </c>
    </row>
    <row r="136" spans="1:9">
      <c r="A136" s="3" t="s">
        <v>168</v>
      </c>
      <c r="B136" s="3" t="s">
        <v>352</v>
      </c>
      <c r="C136" s="3">
        <v>27</v>
      </c>
      <c r="D136" s="3">
        <v>27</v>
      </c>
      <c r="E136" s="8">
        <v>-16.472588</v>
      </c>
      <c r="F136" s="8">
        <v>-16.473</v>
      </c>
      <c r="G136" s="11">
        <v>2296.397154599998</v>
      </c>
      <c r="H136" s="11">
        <v>2296.29</v>
      </c>
      <c r="I136" s="11">
        <f>H136-G136</f>
        <v>-0.10715459999846644</v>
      </c>
    </row>
    <row r="137" spans="1:9">
      <c r="A137" s="3" t="s">
        <v>168</v>
      </c>
      <c r="B137" s="3" t="s">
        <v>353</v>
      </c>
      <c r="C137" s="3">
        <v>27</v>
      </c>
      <c r="D137" s="3">
        <v>27</v>
      </c>
      <c r="E137" s="8">
        <v>-17.181818</v>
      </c>
      <c r="F137" s="8">
        <v>-17.181</v>
      </c>
      <c r="G137" s="11">
        <v>1866.8698221</v>
      </c>
      <c r="H137" s="11">
        <v>1866.97</v>
      </c>
      <c r="I137" s="11">
        <f>H137-G137</f>
        <v>0.10017789999983506</v>
      </c>
    </row>
    <row r="138" spans="1:9">
      <c r="A138" s="3" t="s">
        <v>168</v>
      </c>
      <c r="B138" s="3" t="s">
        <v>354</v>
      </c>
      <c r="C138" s="3">
        <v>28</v>
      </c>
      <c r="D138" s="3">
        <v>28</v>
      </c>
      <c r="E138" s="8">
        <v>-17.181817</v>
      </c>
      <c r="F138" s="8">
        <v>-17.181</v>
      </c>
      <c r="G138" s="11">
        <v>2535.44738484</v>
      </c>
      <c r="H138" s="11">
        <v>2535.55</v>
      </c>
      <c r="I138" s="11">
        <f>H138-G138</f>
        <v>0.10261515999991389</v>
      </c>
    </row>
    <row r="139" spans="1:9">
      <c r="A139" s="3" t="s">
        <v>168</v>
      </c>
      <c r="B139" s="3" t="s">
        <v>355</v>
      </c>
      <c r="C139" s="3">
        <v>18</v>
      </c>
      <c r="D139" s="3">
        <v>30</v>
      </c>
      <c r="E139" s="8">
        <v>-10.745315</v>
      </c>
      <c r="F139" s="8">
        <v>-37.29</v>
      </c>
      <c r="G139" s="11">
        <v>2030.18987375</v>
      </c>
      <c r="H139" s="11">
        <v>1325.64</v>
      </c>
      <c r="I139" s="11">
        <f>H139-G139</f>
        <v>-704.5498737499997</v>
      </c>
    </row>
    <row r="140" spans="1:9">
      <c r="A140" s="3" t="s">
        <v>168</v>
      </c>
      <c r="B140" s="3" t="s">
        <v>356</v>
      </c>
      <c r="C140" s="3">
        <v>26</v>
      </c>
      <c r="D140" s="3">
        <v>26</v>
      </c>
      <c r="E140" s="8">
        <v>-17.181818</v>
      </c>
      <c r="F140" s="8">
        <v>-17.181</v>
      </c>
      <c r="G140" s="11">
        <v>1520.19330763</v>
      </c>
      <c r="H140" s="11">
        <v>1520.28</v>
      </c>
      <c r="I140" s="11">
        <f>H140-G140</f>
        <v>0.08669237000026442</v>
      </c>
    </row>
    <row r="141" spans="1:9">
      <c r="A141" s="3" t="s">
        <v>168</v>
      </c>
      <c r="B141" s="3" t="s">
        <v>357</v>
      </c>
      <c r="C141" s="3">
        <v>15</v>
      </c>
      <c r="D141" s="3">
        <v>15</v>
      </c>
      <c r="E141" s="8">
        <v>-9.496295</v>
      </c>
      <c r="F141" s="8">
        <v>-9.495999999999999</v>
      </c>
      <c r="G141" s="11">
        <v>2004.56334966</v>
      </c>
      <c r="H141" s="11">
        <v>2004.56</v>
      </c>
      <c r="I141" s="11">
        <f>H141-G141</f>
        <v>-0.00334966000013992</v>
      </c>
    </row>
    <row r="142" spans="1:9">
      <c r="A142" s="3" t="s">
        <v>168</v>
      </c>
      <c r="B142" s="3" t="s">
        <v>358</v>
      </c>
      <c r="C142" s="3">
        <v>20</v>
      </c>
      <c r="D142" s="3">
        <v>20</v>
      </c>
      <c r="E142" s="8">
        <v>-12.005315</v>
      </c>
      <c r="F142" s="8">
        <v>-12.006</v>
      </c>
      <c r="G142" s="11">
        <v>3297.4221894</v>
      </c>
      <c r="H142" s="11">
        <v>3297.31</v>
      </c>
      <c r="I142" s="11">
        <f>H142-G142</f>
        <v>-0.11218940000026123</v>
      </c>
    </row>
    <row r="143" spans="1:9">
      <c r="A143" s="3" t="s">
        <v>168</v>
      </c>
      <c r="B143" s="3" t="s">
        <v>359</v>
      </c>
      <c r="C143" s="3">
        <v>22</v>
      </c>
      <c r="D143" s="3">
        <v>22</v>
      </c>
      <c r="E143" s="8">
        <v>-13.265315</v>
      </c>
      <c r="F143" s="8">
        <v>-13.266</v>
      </c>
      <c r="G143" s="11">
        <v>2102.6968429</v>
      </c>
      <c r="H143" s="11">
        <v>2102.59</v>
      </c>
      <c r="I143" s="11">
        <f>H143-G143</f>
        <v>-0.10684290000017427</v>
      </c>
    </row>
    <row r="144" spans="1:9">
      <c r="A144" s="3" t="s">
        <v>168</v>
      </c>
      <c r="B144" s="3" t="s">
        <v>360</v>
      </c>
      <c r="C144" s="3">
        <v>29</v>
      </c>
      <c r="D144" s="3">
        <v>29</v>
      </c>
      <c r="E144" s="8">
        <v>-17.181817</v>
      </c>
      <c r="F144" s="8">
        <v>-17.182</v>
      </c>
      <c r="G144" s="11">
        <v>5940.651953729999</v>
      </c>
      <c r="H144" s="11">
        <v>5940.59</v>
      </c>
      <c r="I144" s="11">
        <f>H144-G144</f>
        <v>-0.06195372999900428</v>
      </c>
    </row>
    <row r="145" spans="1:9">
      <c r="A145" s="3" t="s">
        <v>168</v>
      </c>
      <c r="B145" s="3" t="s">
        <v>361</v>
      </c>
      <c r="C145" s="3">
        <v>27</v>
      </c>
      <c r="D145" s="3">
        <v>27</v>
      </c>
      <c r="E145" s="8">
        <v>-17.181818</v>
      </c>
      <c r="F145" s="8">
        <v>-17.181</v>
      </c>
      <c r="G145" s="11">
        <v>928.3799034200002</v>
      </c>
      <c r="H145" s="11">
        <v>928.4300000000003</v>
      </c>
      <c r="I145" s="11">
        <f>H145-G145</f>
        <v>0.050096580000058566</v>
      </c>
    </row>
    <row r="146" spans="1:9">
      <c r="A146" s="3" t="s">
        <v>168</v>
      </c>
      <c r="B146" s="3" t="s">
        <v>362</v>
      </c>
      <c r="C146" s="3">
        <v>29</v>
      </c>
      <c r="D146" s="3">
        <v>29</v>
      </c>
      <c r="E146" s="8">
        <v>-17.181817</v>
      </c>
      <c r="F146" s="8">
        <v>-17.182</v>
      </c>
      <c r="G146" s="11">
        <v>3180.51581636</v>
      </c>
      <c r="H146" s="11">
        <v>3180.5</v>
      </c>
      <c r="I146" s="11">
        <f>H146-G146</f>
        <v>-0.01581635999991704</v>
      </c>
    </row>
    <row r="147" spans="1:9">
      <c r="A147" s="3" t="s">
        <v>168</v>
      </c>
      <c r="B147" s="3" t="s">
        <v>363</v>
      </c>
      <c r="C147" s="3">
        <v>28</v>
      </c>
      <c r="D147" s="3">
        <v>28</v>
      </c>
      <c r="E147" s="8">
        <v>-17.181818</v>
      </c>
      <c r="F147" s="8">
        <v>-17.183</v>
      </c>
      <c r="G147" s="11">
        <v>3472.61721433</v>
      </c>
      <c r="H147" s="11">
        <v>3472.46</v>
      </c>
      <c r="I147" s="11">
        <f>H147-G147</f>
        <v>-0.15721433000044271</v>
      </c>
    </row>
    <row r="148" spans="1:9">
      <c r="A148" s="3" t="s">
        <v>168</v>
      </c>
      <c r="B148" s="3" t="s">
        <v>364</v>
      </c>
      <c r="C148" s="3">
        <v>26</v>
      </c>
      <c r="D148" s="3">
        <v>26</v>
      </c>
      <c r="E148" s="8">
        <v>-16.117974</v>
      </c>
      <c r="F148" s="8">
        <v>-16.119</v>
      </c>
      <c r="G148" s="11">
        <v>1976.0966786</v>
      </c>
      <c r="H148" s="11">
        <v>1976.05</v>
      </c>
      <c r="I148" s="11">
        <f>H148-G148</f>
        <v>-0.04667860000017754</v>
      </c>
    </row>
    <row r="149" spans="1:9">
      <c r="A149" s="3" t="s">
        <v>168</v>
      </c>
      <c r="B149" s="3" t="s">
        <v>365</v>
      </c>
      <c r="C149" s="3">
        <v>18</v>
      </c>
      <c r="D149" s="3">
        <v>18</v>
      </c>
      <c r="E149" s="8">
        <v>-10.745315</v>
      </c>
      <c r="F149" s="8">
        <v>-10.746</v>
      </c>
      <c r="G149" s="11">
        <v>2361.58574265</v>
      </c>
      <c r="H149" s="11">
        <v>2361.49</v>
      </c>
      <c r="I149" s="11">
        <f>H149-G149</f>
        <v>-0.0957426499999201</v>
      </c>
    </row>
    <row r="150" spans="1:9">
      <c r="A150" s="3" t="s">
        <v>168</v>
      </c>
      <c r="B150" s="3" t="s">
        <v>366</v>
      </c>
      <c r="C150" s="3">
        <v>28</v>
      </c>
      <c r="D150" s="3">
        <v>28</v>
      </c>
      <c r="E150" s="8">
        <v>-17.181818</v>
      </c>
      <c r="F150" s="8">
        <v>-17.182</v>
      </c>
      <c r="G150" s="11">
        <v>5202.77860066</v>
      </c>
      <c r="H150" s="11">
        <v>5202.690000000001</v>
      </c>
      <c r="I150" s="11">
        <f>H150-G150</f>
        <v>-0.0886006599994289</v>
      </c>
    </row>
    <row r="151" spans="1:9">
      <c r="A151" s="3" t="s">
        <v>168</v>
      </c>
      <c r="B151" s="3" t="s">
        <v>367</v>
      </c>
      <c r="C151" s="3">
        <v>27</v>
      </c>
      <c r="D151" s="3">
        <v>27</v>
      </c>
      <c r="E151" s="8">
        <v>-17.181819</v>
      </c>
      <c r="F151" s="8">
        <v>-17.181</v>
      </c>
      <c r="G151" s="11">
        <v>5569.28977112</v>
      </c>
      <c r="H151" s="11">
        <v>5569.320000000001</v>
      </c>
      <c r="I151" s="11">
        <f>H151-G151</f>
        <v>0.030228880000322533</v>
      </c>
    </row>
    <row r="152" spans="1:9">
      <c r="A152" s="3" t="s">
        <v>168</v>
      </c>
      <c r="B152" s="3" t="s">
        <v>368</v>
      </c>
      <c r="C152" s="3">
        <v>27</v>
      </c>
      <c r="D152" s="3">
        <v>27</v>
      </c>
      <c r="E152" s="8">
        <v>-17.181818</v>
      </c>
      <c r="F152" s="8">
        <v>-17.18</v>
      </c>
      <c r="G152" s="11">
        <v>8908.20323619</v>
      </c>
      <c r="H152" s="11">
        <v>8908.299999999999</v>
      </c>
      <c r="I152" s="11">
        <f>H152-G152</f>
        <v>0.09676380999917455</v>
      </c>
    </row>
    <row r="153" spans="1:9">
      <c r="A153" s="3" t="s">
        <v>168</v>
      </c>
      <c r="B153" s="3" t="s">
        <v>369</v>
      </c>
      <c r="C153" s="3">
        <v>28</v>
      </c>
      <c r="D153" s="3">
        <v>28</v>
      </c>
      <c r="E153" s="8">
        <v>-17.181818</v>
      </c>
      <c r="F153" s="8">
        <v>-17.182</v>
      </c>
      <c r="G153" s="11">
        <v>9615.47576007</v>
      </c>
      <c r="H153" s="11">
        <v>9615.389999999999</v>
      </c>
      <c r="I153" s="11">
        <f>H153-G153</f>
        <v>-0.08576007000010577</v>
      </c>
    </row>
    <row r="154" spans="1:9">
      <c r="A154" s="3" t="s">
        <v>168</v>
      </c>
      <c r="B154" s="3" t="s">
        <v>370</v>
      </c>
      <c r="C154" s="3">
        <v>28</v>
      </c>
      <c r="D154" s="3">
        <v>28</v>
      </c>
      <c r="E154" s="8">
        <v>-17.181818</v>
      </c>
      <c r="F154" s="8">
        <v>-17.183</v>
      </c>
      <c r="G154" s="11">
        <v>8137.52987849</v>
      </c>
      <c r="H154" s="11">
        <v>8137.41</v>
      </c>
      <c r="I154" s="11">
        <f>H154-G154</f>
        <v>-0.11987848999979178</v>
      </c>
    </row>
    <row r="155" spans="1:9">
      <c r="A155" s="3" t="s">
        <v>168</v>
      </c>
      <c r="B155" s="3" t="s">
        <v>371</v>
      </c>
      <c r="C155" s="3">
        <v>26</v>
      </c>
      <c r="D155" s="3">
        <v>26</v>
      </c>
      <c r="E155" s="8">
        <v>-16.117974</v>
      </c>
      <c r="F155" s="8">
        <v>-16.119</v>
      </c>
      <c r="G155" s="11">
        <v>7535.5151394</v>
      </c>
      <c r="H155" s="11">
        <v>7535.389999999999</v>
      </c>
      <c r="I155" s="11">
        <f>H155-G155</f>
        <v>-0.12513940000098955</v>
      </c>
    </row>
    <row r="156" spans="1:9">
      <c r="A156" s="3" t="s">
        <v>168</v>
      </c>
      <c r="B156" s="3" t="s">
        <v>372</v>
      </c>
      <c r="C156" s="3">
        <v>28</v>
      </c>
      <c r="D156" s="3">
        <v>28</v>
      </c>
      <c r="E156" s="8">
        <v>-17.181818</v>
      </c>
      <c r="F156" s="8">
        <v>-17.182</v>
      </c>
      <c r="G156" s="11">
        <v>13656.3484013</v>
      </c>
      <c r="H156" s="11">
        <v>13656.24</v>
      </c>
      <c r="I156" s="11">
        <f>H156-G156</f>
        <v>-0.1084013000017876</v>
      </c>
    </row>
    <row r="157" spans="1:9">
      <c r="A157" s="3" t="s">
        <v>168</v>
      </c>
      <c r="B157" s="3" t="s">
        <v>373</v>
      </c>
      <c r="C157" s="3">
        <v>28</v>
      </c>
      <c r="D157" s="3">
        <v>28</v>
      </c>
      <c r="E157" s="8">
        <v>-17.181818</v>
      </c>
      <c r="F157" s="8">
        <v>-17.182</v>
      </c>
      <c r="G157" s="11">
        <v>13821.47974152</v>
      </c>
      <c r="H157" s="11">
        <v>13821.43</v>
      </c>
      <c r="I157" s="11">
        <f>H157-G157</f>
        <v>-0.049741520000679884</v>
      </c>
    </row>
    <row r="158" spans="1:9">
      <c r="A158" s="3" t="s">
        <v>168</v>
      </c>
      <c r="B158" s="3" t="s">
        <v>374</v>
      </c>
      <c r="C158" s="3">
        <v>28</v>
      </c>
      <c r="D158" s="3">
        <v>28</v>
      </c>
      <c r="E158" s="8">
        <v>-17.181818</v>
      </c>
      <c r="F158" s="8">
        <v>-17.182</v>
      </c>
      <c r="G158" s="11">
        <v>29127.8010669</v>
      </c>
      <c r="H158" s="11">
        <v>29127.6</v>
      </c>
      <c r="I158" s="11">
        <f>H158-G158</f>
        <v>-0.20106689999738592</v>
      </c>
    </row>
    <row r="159" spans="1:9">
      <c r="A159" s="3" t="s">
        <v>168</v>
      </c>
      <c r="B159" s="3" t="s">
        <v>375</v>
      </c>
      <c r="C159" s="3">
        <v>27</v>
      </c>
      <c r="D159" s="3">
        <v>27</v>
      </c>
      <c r="E159" s="8">
        <v>-17.181818</v>
      </c>
      <c r="F159" s="8">
        <v>-17.18</v>
      </c>
      <c r="G159" s="11">
        <v>17566.00506487</v>
      </c>
      <c r="H159" s="11">
        <v>17566.18</v>
      </c>
      <c r="I159" s="11">
        <f>H159-G159</f>
        <v>0.17493512999863015</v>
      </c>
    </row>
    <row r="160" spans="1:9">
      <c r="A160" s="3" t="s">
        <v>168</v>
      </c>
      <c r="B160" s="3" t="s">
        <v>376</v>
      </c>
      <c r="C160" s="3">
        <v>28</v>
      </c>
      <c r="D160" s="3">
        <v>28</v>
      </c>
      <c r="E160" s="8">
        <v>-17.181818</v>
      </c>
      <c r="F160" s="8">
        <v>-17.182</v>
      </c>
      <c r="G160" s="11">
        <v>14858.50925419</v>
      </c>
      <c r="H160" s="11">
        <v>14858.38</v>
      </c>
      <c r="I160" s="11">
        <f>H160-G160</f>
        <v>-0.12925419000021066</v>
      </c>
    </row>
    <row r="161" spans="1:9">
      <c r="A161" s="3" t="s">
        <v>168</v>
      </c>
      <c r="B161" s="3" t="s">
        <v>377</v>
      </c>
      <c r="C161" s="3">
        <v>28</v>
      </c>
      <c r="D161" s="3">
        <v>28</v>
      </c>
      <c r="E161" s="8">
        <v>-17.181818</v>
      </c>
      <c r="F161" s="8">
        <v>-17.181</v>
      </c>
      <c r="G161" s="11">
        <v>13709.72950034</v>
      </c>
      <c r="H161" s="11">
        <v>13709.8</v>
      </c>
      <c r="I161" s="11">
        <f>H161-G161</f>
        <v>0.07049965999976848</v>
      </c>
    </row>
    <row r="162" spans="1:9">
      <c r="A162" s="3" t="s">
        <v>168</v>
      </c>
      <c r="B162" s="3" t="s">
        <v>378</v>
      </c>
      <c r="C162" s="3">
        <v>28</v>
      </c>
      <c r="D162" s="3">
        <v>28</v>
      </c>
      <c r="E162" s="8">
        <v>-17.181818</v>
      </c>
      <c r="F162" s="8">
        <v>-17.182</v>
      </c>
      <c r="G162" s="11">
        <v>12849.38027595</v>
      </c>
      <c r="H162" s="11">
        <v>12849.3</v>
      </c>
      <c r="I162" s="11">
        <f>H162-G162</f>
        <v>-0.08027595000021392</v>
      </c>
    </row>
    <row r="163" spans="1:9">
      <c r="A163" s="3" t="s">
        <v>168</v>
      </c>
      <c r="B163" s="3" t="s">
        <v>379</v>
      </c>
      <c r="C163" s="3">
        <v>28</v>
      </c>
      <c r="D163" s="3">
        <v>28</v>
      </c>
      <c r="E163" s="8">
        <v>-17.181818</v>
      </c>
      <c r="F163" s="8">
        <v>-17.182</v>
      </c>
      <c r="G163" s="11">
        <v>15636.40737409</v>
      </c>
      <c r="H163" s="11">
        <v>15636.27</v>
      </c>
      <c r="I163" s="11">
        <f>H163-G163</f>
        <v>-0.13737408999986656</v>
      </c>
    </row>
    <row r="164" spans="1:9">
      <c r="A164" s="3" t="s">
        <v>168</v>
      </c>
      <c r="B164" s="3" t="s">
        <v>380</v>
      </c>
      <c r="C164" s="3">
        <v>28</v>
      </c>
      <c r="D164" s="3">
        <v>28</v>
      </c>
      <c r="E164" s="8">
        <v>-17.181818</v>
      </c>
      <c r="F164" s="8">
        <v>-17.182</v>
      </c>
      <c r="G164" s="11">
        <v>12895.78258708</v>
      </c>
      <c r="H164" s="11">
        <v>12895.67</v>
      </c>
      <c r="I164" s="11">
        <f>H164-G164</f>
        <v>-0.11258708000059414</v>
      </c>
    </row>
    <row r="165" spans="1:9">
      <c r="A165" s="3" t="s">
        <v>168</v>
      </c>
      <c r="B165" s="3" t="s">
        <v>381</v>
      </c>
      <c r="C165" s="3">
        <v>28</v>
      </c>
      <c r="D165" s="3">
        <v>28</v>
      </c>
      <c r="E165" s="8">
        <v>-17.181818</v>
      </c>
      <c r="F165" s="8">
        <v>-17.182</v>
      </c>
      <c r="G165" s="11">
        <v>9885.751520040001</v>
      </c>
      <c r="H165" s="11">
        <v>9885.66</v>
      </c>
      <c r="I165" s="11">
        <f>H165-G165</f>
        <v>-0.09152004000134184</v>
      </c>
    </row>
    <row r="166" spans="1:9">
      <c r="A166" s="3" t="s">
        <v>168</v>
      </c>
      <c r="B166" s="3" t="s">
        <v>382</v>
      </c>
      <c r="C166" s="3">
        <v>27</v>
      </c>
      <c r="D166" s="3">
        <v>27</v>
      </c>
      <c r="E166" s="8">
        <v>-17.181818</v>
      </c>
      <c r="F166" s="8">
        <v>-17.18</v>
      </c>
      <c r="G166" s="11">
        <v>14292.81043862</v>
      </c>
      <c r="H166" s="11">
        <v>14292.92</v>
      </c>
      <c r="I166" s="11">
        <f>H166-G166</f>
        <v>0.10956138000074134</v>
      </c>
    </row>
    <row r="167" spans="1:9">
      <c r="A167" s="3" t="s">
        <v>168</v>
      </c>
      <c r="B167" s="3" t="s">
        <v>383</v>
      </c>
      <c r="C167" s="3">
        <v>28</v>
      </c>
      <c r="D167" s="3">
        <v>28</v>
      </c>
      <c r="E167" s="8">
        <v>-17.181818</v>
      </c>
      <c r="F167" s="8">
        <v>-17.182</v>
      </c>
      <c r="G167" s="11">
        <v>9597.02570461</v>
      </c>
      <c r="H167" s="11">
        <v>9596.870000000001</v>
      </c>
      <c r="I167" s="11">
        <f>H167-G167</f>
        <v>-0.15570460999879288</v>
      </c>
    </row>
    <row r="168" spans="1:9">
      <c r="A168" s="3" t="s">
        <v>168</v>
      </c>
      <c r="B168" s="3" t="s">
        <v>384</v>
      </c>
      <c r="C168" s="3">
        <v>28</v>
      </c>
      <c r="D168" s="3">
        <v>28</v>
      </c>
      <c r="E168" s="8">
        <v>-17.181818</v>
      </c>
      <c r="F168" s="8">
        <v>-17.182</v>
      </c>
      <c r="G168" s="11">
        <v>2412.68066714</v>
      </c>
      <c r="H168" s="11">
        <v>2412.66</v>
      </c>
      <c r="I168" s="11">
        <f>H168-G168</f>
        <v>-0.02066714000011416</v>
      </c>
    </row>
    <row r="169" spans="1:9">
      <c r="A169" s="3" t="s">
        <v>168</v>
      </c>
      <c r="B169" s="3" t="s">
        <v>385</v>
      </c>
      <c r="C169" s="3">
        <v>19</v>
      </c>
      <c r="D169" s="3">
        <v>19</v>
      </c>
      <c r="E169" s="8">
        <v>-12.005317</v>
      </c>
      <c r="F169" s="8">
        <v>-12.006</v>
      </c>
      <c r="G169" s="11">
        <v>8765.351094650001</v>
      </c>
      <c r="H169" s="11">
        <v>8765.23</v>
      </c>
      <c r="I169" s="11">
        <f>H169-G169</f>
        <v>-0.12109465000139608</v>
      </c>
    </row>
    <row r="170" spans="1:9">
      <c r="A170" s="3" t="s">
        <v>168</v>
      </c>
      <c r="B170" s="3" t="s">
        <v>386</v>
      </c>
      <c r="C170" s="3">
        <v>28</v>
      </c>
      <c r="D170" s="3">
        <v>28</v>
      </c>
      <c r="E170" s="8">
        <v>-17.181818</v>
      </c>
      <c r="F170" s="8">
        <v>-17.182</v>
      </c>
      <c r="G170" s="11">
        <v>12135.11071334</v>
      </c>
      <c r="H170" s="11">
        <v>12134.98</v>
      </c>
      <c r="I170" s="11">
        <f>H170-G170</f>
        <v>-0.13071334000051138</v>
      </c>
    </row>
    <row r="171" spans="1:9">
      <c r="A171" s="3" t="s">
        <v>168</v>
      </c>
      <c r="B171" s="3" t="s">
        <v>387</v>
      </c>
      <c r="C171" s="3">
        <v>27</v>
      </c>
      <c r="D171" s="3">
        <v>27</v>
      </c>
      <c r="E171" s="8">
        <v>-17.181818</v>
      </c>
      <c r="F171" s="8">
        <v>-17.18</v>
      </c>
      <c r="G171" s="11">
        <v>10180.62763591</v>
      </c>
      <c r="H171" s="11">
        <v>10180.8</v>
      </c>
      <c r="I171" s="11">
        <f>H171-G171</f>
        <v>0.17236408999997366</v>
      </c>
    </row>
    <row r="172" spans="1:9">
      <c r="A172" s="3" t="s">
        <v>168</v>
      </c>
      <c r="B172" s="3" t="s">
        <v>388</v>
      </c>
      <c r="C172" s="3">
        <v>28</v>
      </c>
      <c r="D172" s="3">
        <v>28</v>
      </c>
      <c r="E172" s="8">
        <v>-17.181818</v>
      </c>
      <c r="F172" s="8">
        <v>-17.182</v>
      </c>
      <c r="G172" s="11">
        <v>14879.22153901</v>
      </c>
      <c r="H172" s="11">
        <v>14879.09</v>
      </c>
      <c r="I172" s="11">
        <f>H172-G172</f>
        <v>-0.13153901000077894</v>
      </c>
    </row>
    <row r="173" spans="1:9">
      <c r="A173" s="3" t="s">
        <v>168</v>
      </c>
      <c r="B173" s="3" t="s">
        <v>389</v>
      </c>
      <c r="C173" s="3">
        <v>27</v>
      </c>
      <c r="D173" s="3">
        <v>27</v>
      </c>
      <c r="E173" s="8">
        <v>-17.181819</v>
      </c>
      <c r="F173" s="8">
        <v>-17.18</v>
      </c>
      <c r="G173" s="11">
        <v>17977.12278251</v>
      </c>
      <c r="H173" s="11">
        <v>17977.32</v>
      </c>
      <c r="I173" s="11">
        <f>H173-G173</f>
        <v>0.19721749000018463</v>
      </c>
    </row>
    <row r="174" spans="1:9">
      <c r="A174" s="3" t="s">
        <v>168</v>
      </c>
      <c r="B174" s="3" t="s">
        <v>390</v>
      </c>
      <c r="C174" s="3">
        <v>28</v>
      </c>
      <c r="D174" s="3">
        <v>28</v>
      </c>
      <c r="E174" s="8">
        <v>-17.181818</v>
      </c>
      <c r="F174" s="8">
        <v>-17.182</v>
      </c>
      <c r="G174" s="11">
        <v>14083.77166282</v>
      </c>
      <c r="H174" s="11">
        <v>14083.68</v>
      </c>
      <c r="I174" s="11">
        <f>H174-G174</f>
        <v>-0.09166282000114734</v>
      </c>
    </row>
    <row r="175" spans="1:9">
      <c r="A175" s="3" t="s">
        <v>168</v>
      </c>
      <c r="B175" s="3" t="s">
        <v>391</v>
      </c>
      <c r="C175" s="3">
        <v>26</v>
      </c>
      <c r="D175" s="3">
        <v>26</v>
      </c>
      <c r="E175" s="8">
        <v>-16.117974</v>
      </c>
      <c r="F175" s="8">
        <v>-16.119</v>
      </c>
      <c r="G175" s="11">
        <v>12082.82908142</v>
      </c>
      <c r="H175" s="11">
        <v>12082.66</v>
      </c>
      <c r="I175" s="11">
        <f>H175-G175</f>
        <v>-0.1690814199992019</v>
      </c>
    </row>
    <row r="176" spans="1:9">
      <c r="A176" s="3" t="s">
        <v>168</v>
      </c>
      <c r="B176" s="3" t="s">
        <v>392</v>
      </c>
      <c r="C176" s="3">
        <v>25</v>
      </c>
      <c r="D176" s="3">
        <v>25</v>
      </c>
      <c r="E176" s="8">
        <v>-15.785317</v>
      </c>
      <c r="F176" s="8">
        <v>-15.786</v>
      </c>
      <c r="G176" s="11">
        <v>12697.22095827</v>
      </c>
      <c r="H176" s="11">
        <v>12697.1</v>
      </c>
      <c r="I176" s="11">
        <f>H176-G176</f>
        <v>-0.12095826999939163</v>
      </c>
    </row>
    <row r="177" spans="1:9">
      <c r="A177" s="3" t="s">
        <v>168</v>
      </c>
      <c r="B177" s="3" t="s">
        <v>393</v>
      </c>
      <c r="C177" s="3">
        <v>28</v>
      </c>
      <c r="D177" s="3">
        <v>28</v>
      </c>
      <c r="E177" s="8">
        <v>-17.181818</v>
      </c>
      <c r="F177" s="8">
        <v>-17.182</v>
      </c>
      <c r="G177" s="11">
        <v>17241.96211402</v>
      </c>
      <c r="H177" s="11">
        <v>17241.85</v>
      </c>
      <c r="I177" s="11">
        <f>H177-G177</f>
        <v>-0.11211402000117232</v>
      </c>
    </row>
    <row r="178" spans="1:9">
      <c r="A178" s="3" t="s">
        <v>168</v>
      </c>
      <c r="B178" s="3" t="s">
        <v>394</v>
      </c>
      <c r="C178" s="3">
        <v>28</v>
      </c>
      <c r="D178" s="3">
        <v>28</v>
      </c>
      <c r="E178" s="8">
        <v>-17.181818</v>
      </c>
      <c r="F178" s="8">
        <v>-17.182</v>
      </c>
      <c r="G178" s="11">
        <v>14514.56081238</v>
      </c>
      <c r="H178" s="11">
        <v>14514.46</v>
      </c>
      <c r="I178" s="11">
        <f>H178-G178</f>
        <v>-0.10081238000020676</v>
      </c>
    </row>
    <row r="179" spans="1:9">
      <c r="A179" s="3" t="s">
        <v>168</v>
      </c>
      <c r="B179" s="3" t="s">
        <v>395</v>
      </c>
      <c r="C179" s="3">
        <v>28</v>
      </c>
      <c r="D179" s="3">
        <v>28</v>
      </c>
      <c r="E179" s="8">
        <v>-17.181818</v>
      </c>
      <c r="F179" s="8">
        <v>-17.182</v>
      </c>
      <c r="G179" s="11">
        <v>7680.40337348</v>
      </c>
      <c r="H179" s="11">
        <v>7680.24</v>
      </c>
      <c r="I179" s="11">
        <f>H179-G179</f>
        <v>-0.16337347999979102</v>
      </c>
    </row>
    <row r="180" spans="1:9">
      <c r="A180" s="3" t="s">
        <v>168</v>
      </c>
      <c r="B180" s="3" t="s">
        <v>396</v>
      </c>
      <c r="C180" s="3">
        <v>28</v>
      </c>
      <c r="D180" s="3">
        <v>28</v>
      </c>
      <c r="E180" s="8">
        <v>-17.181818</v>
      </c>
      <c r="F180" s="8">
        <v>-17.182</v>
      </c>
      <c r="G180" s="11">
        <v>13302.27413064</v>
      </c>
      <c r="H180" s="11">
        <v>13302.18</v>
      </c>
      <c r="I180" s="11">
        <f>H180-G180</f>
        <v>-0.09413064000000304</v>
      </c>
    </row>
    <row r="181" spans="1:9">
      <c r="A181" s="3" t="s">
        <v>168</v>
      </c>
      <c r="B181" s="3" t="s">
        <v>397</v>
      </c>
      <c r="C181" s="3">
        <v>28</v>
      </c>
      <c r="D181" s="3">
        <v>28</v>
      </c>
      <c r="E181" s="8">
        <v>-17.181818</v>
      </c>
      <c r="F181" s="8">
        <v>-17.182</v>
      </c>
      <c r="G181" s="11">
        <v>10709.41704503</v>
      </c>
      <c r="H181" s="11">
        <v>10709.34</v>
      </c>
      <c r="I181" s="11">
        <f>H181-G181</f>
        <v>-0.07704503000059049</v>
      </c>
    </row>
    <row r="182" spans="1:9">
      <c r="A182" s="3" t="s">
        <v>168</v>
      </c>
      <c r="B182" s="3" t="s">
        <v>398</v>
      </c>
      <c r="C182" s="3">
        <v>24</v>
      </c>
      <c r="D182" s="3">
        <v>24</v>
      </c>
      <c r="E182" s="8">
        <v>-15.395386</v>
      </c>
      <c r="F182" s="8">
        <v>-15.395</v>
      </c>
      <c r="G182" s="11">
        <v>9265.37254473</v>
      </c>
      <c r="H182" s="11">
        <v>9265.4</v>
      </c>
      <c r="I182" s="11">
        <f>H182-G182</f>
        <v>0.02745526999933645</v>
      </c>
    </row>
    <row r="183" spans="1:9">
      <c r="A183" s="3" t="s">
        <v>168</v>
      </c>
      <c r="B183" s="3" t="s">
        <v>399</v>
      </c>
      <c r="C183" s="3">
        <v>21</v>
      </c>
      <c r="D183" s="3">
        <v>21</v>
      </c>
      <c r="E183" s="8">
        <v>-13.265317</v>
      </c>
      <c r="F183" s="8">
        <v>-13.266</v>
      </c>
      <c r="G183" s="11">
        <v>9150.0766793</v>
      </c>
      <c r="H183" s="11">
        <v>9149.970000000001</v>
      </c>
      <c r="I183" s="11">
        <f>H183-G183</f>
        <v>-0.10667929999908665</v>
      </c>
    </row>
    <row r="184" spans="1:9">
      <c r="A184" s="3" t="s">
        <v>168</v>
      </c>
      <c r="B184" s="3" t="s">
        <v>400</v>
      </c>
      <c r="C184" s="3">
        <v>28</v>
      </c>
      <c r="D184" s="3">
        <v>28</v>
      </c>
      <c r="E184" s="8">
        <v>-17.181818</v>
      </c>
      <c r="F184" s="8">
        <v>-17.182</v>
      </c>
      <c r="G184" s="11">
        <v>11631.07773849</v>
      </c>
      <c r="H184" s="11">
        <v>11631</v>
      </c>
      <c r="I184" s="11">
        <f>H184-G184</f>
        <v>-0.07773848999931943</v>
      </c>
    </row>
    <row r="185" spans="1:9">
      <c r="A185" s="3" t="s">
        <v>168</v>
      </c>
      <c r="B185" s="3" t="s">
        <v>401</v>
      </c>
      <c r="C185" s="3">
        <v>27</v>
      </c>
      <c r="D185" s="3">
        <v>27</v>
      </c>
      <c r="E185" s="8">
        <v>-17.181818</v>
      </c>
      <c r="F185" s="8">
        <v>-17.18</v>
      </c>
      <c r="G185" s="11">
        <v>10777.54608375</v>
      </c>
      <c r="H185" s="11">
        <v>10777.75</v>
      </c>
      <c r="I185" s="11">
        <f>H185-G185</f>
        <v>0.20391625000047497</v>
      </c>
    </row>
    <row r="186" spans="1:9">
      <c r="A186" s="3" t="s">
        <v>168</v>
      </c>
      <c r="B186" s="3" t="s">
        <v>402</v>
      </c>
      <c r="C186" s="3">
        <v>28</v>
      </c>
      <c r="D186" s="3">
        <v>28</v>
      </c>
      <c r="E186" s="8">
        <v>-17.181818</v>
      </c>
      <c r="F186" s="8">
        <v>-17.182</v>
      </c>
      <c r="G186" s="11">
        <v>11788.02362263</v>
      </c>
      <c r="H186" s="11">
        <v>11787.88</v>
      </c>
      <c r="I186" s="11">
        <f>H186-G186</f>
        <v>-0.14362262999929953</v>
      </c>
    </row>
    <row r="187" spans="1:9">
      <c r="A187" s="3" t="s">
        <v>168</v>
      </c>
      <c r="B187" s="3" t="s">
        <v>403</v>
      </c>
      <c r="C187" s="3">
        <v>28</v>
      </c>
      <c r="D187" s="3">
        <v>28</v>
      </c>
      <c r="E187" s="8">
        <v>-17.181818</v>
      </c>
      <c r="F187" s="8">
        <v>-17.182</v>
      </c>
      <c r="G187" s="11">
        <v>9681.24390951</v>
      </c>
      <c r="H187" s="11">
        <v>9681.120000000001</v>
      </c>
      <c r="I187" s="11">
        <f>H187-G187</f>
        <v>-0.12390950999906636</v>
      </c>
    </row>
    <row r="188" spans="1:9">
      <c r="A188" s="3" t="s">
        <v>168</v>
      </c>
      <c r="B188" s="3" t="s">
        <v>404</v>
      </c>
      <c r="C188" s="3">
        <v>28</v>
      </c>
      <c r="D188" s="3">
        <v>28</v>
      </c>
      <c r="E188" s="8">
        <v>-17.181818</v>
      </c>
      <c r="F188" s="8">
        <v>-17.182</v>
      </c>
      <c r="G188" s="11">
        <v>9065.39495566</v>
      </c>
      <c r="H188" s="11">
        <v>9065.33</v>
      </c>
      <c r="I188" s="11">
        <f>H188-G188</f>
        <v>-0.06495566000012332</v>
      </c>
    </row>
    <row r="189" spans="1:9">
      <c r="A189" s="3" t="s">
        <v>168</v>
      </c>
      <c r="B189" s="3" t="s">
        <v>405</v>
      </c>
      <c r="C189" s="3">
        <v>29</v>
      </c>
      <c r="D189" s="3">
        <v>29</v>
      </c>
      <c r="E189" s="8">
        <v>-17.181819</v>
      </c>
      <c r="F189" s="8">
        <v>-17.182</v>
      </c>
      <c r="G189" s="11">
        <v>9605.85478077</v>
      </c>
      <c r="H189" s="11">
        <v>9605.790000000001</v>
      </c>
      <c r="I189" s="11">
        <f>H189-G189</f>
        <v>-0.06478076999883342</v>
      </c>
    </row>
    <row r="190" spans="1:9">
      <c r="A190" s="3" t="s">
        <v>168</v>
      </c>
      <c r="B190" s="3" t="s">
        <v>406</v>
      </c>
      <c r="C190" s="3">
        <v>28</v>
      </c>
      <c r="D190" s="3">
        <v>28</v>
      </c>
      <c r="E190" s="8">
        <v>-17.181818</v>
      </c>
      <c r="F190" s="8">
        <v>-17.183</v>
      </c>
      <c r="G190" s="11">
        <v>9930.03999972</v>
      </c>
      <c r="H190" s="11">
        <v>9929.969999999999</v>
      </c>
      <c r="I190" s="11">
        <f>H190-G190</f>
        <v>-0.06999972000085108</v>
      </c>
    </row>
    <row r="191" spans="1:9">
      <c r="A191" s="3" t="s">
        <v>168</v>
      </c>
      <c r="B191" s="3" t="s">
        <v>407</v>
      </c>
      <c r="C191" s="3">
        <v>28</v>
      </c>
      <c r="D191" s="3">
        <v>28</v>
      </c>
      <c r="E191" s="8">
        <v>-17.181818</v>
      </c>
      <c r="F191" s="8">
        <v>-17.182</v>
      </c>
      <c r="G191" s="11">
        <v>14624.30185617</v>
      </c>
      <c r="H191" s="11">
        <v>14624.25</v>
      </c>
      <c r="I191" s="11">
        <f>H191-G191</f>
        <v>-0.05185617000097409</v>
      </c>
    </row>
    <row r="192" spans="1:9">
      <c r="A192" s="3" t="s">
        <v>168</v>
      </c>
      <c r="B192" s="3" t="s">
        <v>408</v>
      </c>
      <c r="C192" s="3">
        <v>28</v>
      </c>
      <c r="D192" s="3">
        <v>28</v>
      </c>
      <c r="E192" s="8">
        <v>-17.181818</v>
      </c>
      <c r="F192" s="8">
        <v>-17.183</v>
      </c>
      <c r="G192" s="11">
        <v>18749.26319247</v>
      </c>
      <c r="H192" s="11">
        <v>18749.04</v>
      </c>
      <c r="I192" s="11">
        <f>H192-G192</f>
        <v>-0.22319246999904863</v>
      </c>
    </row>
    <row r="193" spans="1:9">
      <c r="A193" s="3" t="s">
        <v>168</v>
      </c>
      <c r="B193" s="3" t="s">
        <v>409</v>
      </c>
      <c r="C193" s="3">
        <v>27</v>
      </c>
      <c r="D193" s="3">
        <v>27</v>
      </c>
      <c r="E193" s="8">
        <v>-17.181818</v>
      </c>
      <c r="F193" s="8">
        <v>-17.18</v>
      </c>
      <c r="G193" s="11">
        <v>18741.33428235</v>
      </c>
      <c r="H193" s="11">
        <v>18741.5</v>
      </c>
      <c r="I193" s="11">
        <f>H193-G193</f>
        <v>0.1657176500011701</v>
      </c>
    </row>
    <row r="194" spans="1:9">
      <c r="A194" s="3" t="s">
        <v>168</v>
      </c>
      <c r="B194" s="3" t="s">
        <v>410</v>
      </c>
      <c r="C194" s="3">
        <v>28</v>
      </c>
      <c r="D194" s="3">
        <v>28</v>
      </c>
      <c r="E194" s="8">
        <v>-17.181818</v>
      </c>
      <c r="F194" s="8">
        <v>-17.182</v>
      </c>
      <c r="G194" s="11">
        <v>13855.30998814</v>
      </c>
      <c r="H194" s="11">
        <v>13855.23</v>
      </c>
      <c r="I194" s="11">
        <f>H194-G194</f>
        <v>-0.07998813999984122</v>
      </c>
    </row>
    <row r="195" spans="1:9">
      <c r="A195" s="3" t="s">
        <v>168</v>
      </c>
      <c r="B195" s="3" t="s">
        <v>411</v>
      </c>
      <c r="C195" s="3">
        <v>28</v>
      </c>
      <c r="D195" s="3">
        <v>28</v>
      </c>
      <c r="E195" s="8">
        <v>-17.181818</v>
      </c>
      <c r="F195" s="8">
        <v>-17.182</v>
      </c>
      <c r="G195" s="11">
        <v>10009.69862129</v>
      </c>
      <c r="H195" s="11">
        <v>10009.55</v>
      </c>
      <c r="I195" s="11">
        <f>H195-G195</f>
        <v>-0.1486212899999373</v>
      </c>
    </row>
    <row r="196" spans="1:9">
      <c r="A196" s="3" t="s">
        <v>168</v>
      </c>
      <c r="B196" s="3" t="s">
        <v>412</v>
      </c>
      <c r="C196" s="3">
        <v>27</v>
      </c>
      <c r="D196" s="3">
        <v>27</v>
      </c>
      <c r="E196" s="8">
        <v>-17.045317</v>
      </c>
      <c r="F196" s="8">
        <v>-17.046</v>
      </c>
      <c r="G196" s="11">
        <v>13664.55669665</v>
      </c>
      <c r="H196" s="11">
        <v>13664.47</v>
      </c>
      <c r="I196" s="11">
        <f>H196-G196</f>
        <v>-0.08669664999979432</v>
      </c>
    </row>
    <row r="197" spans="1:9">
      <c r="A197" s="3" t="s">
        <v>168</v>
      </c>
      <c r="B197" s="3" t="s">
        <v>413</v>
      </c>
      <c r="C197" s="3">
        <v>23</v>
      </c>
      <c r="D197" s="3">
        <v>23</v>
      </c>
      <c r="E197" s="8">
        <v>-14.525317</v>
      </c>
      <c r="F197" s="8">
        <v>-14.526</v>
      </c>
      <c r="G197" s="11">
        <v>9015.79025656</v>
      </c>
      <c r="H197" s="11">
        <v>9015.68</v>
      </c>
      <c r="I197" s="11">
        <f>H197-G197</f>
        <v>-0.11025655999947048</v>
      </c>
    </row>
    <row r="198" spans="1:9">
      <c r="A198" s="3" t="s">
        <v>168</v>
      </c>
      <c r="B198" s="3" t="s">
        <v>414</v>
      </c>
      <c r="C198" s="3">
        <v>28</v>
      </c>
      <c r="D198" s="3">
        <v>28</v>
      </c>
      <c r="E198" s="8">
        <v>-17.181818</v>
      </c>
      <c r="F198" s="8">
        <v>-17.182</v>
      </c>
      <c r="G198" s="11">
        <v>4064.43185844</v>
      </c>
      <c r="H198" s="11">
        <v>4064.38</v>
      </c>
      <c r="I198" s="11">
        <f>H198-G198</f>
        <v>-0.0518584399997053</v>
      </c>
    </row>
    <row r="199" spans="1:9">
      <c r="A199" s="3" t="s">
        <v>168</v>
      </c>
      <c r="B199" s="3" t="s">
        <v>415</v>
      </c>
      <c r="C199" s="3">
        <v>27</v>
      </c>
      <c r="D199" s="3">
        <v>27</v>
      </c>
      <c r="E199" s="8">
        <v>-17.181818</v>
      </c>
      <c r="F199" s="8">
        <v>-17.18</v>
      </c>
      <c r="G199" s="11">
        <v>9770.687137299999</v>
      </c>
      <c r="H199" s="11">
        <v>9770.91</v>
      </c>
      <c r="I199" s="11">
        <f>H199-G199</f>
        <v>0.2228627000004053</v>
      </c>
    </row>
    <row r="200" spans="1:9">
      <c r="A200" s="3" t="s">
        <v>168</v>
      </c>
      <c r="B200" s="3" t="s">
        <v>416</v>
      </c>
      <c r="C200" s="3">
        <v>28</v>
      </c>
      <c r="D200" s="3">
        <v>28</v>
      </c>
      <c r="E200" s="8">
        <v>-17.181818</v>
      </c>
      <c r="F200" s="8">
        <v>-17.182</v>
      </c>
      <c r="G200" s="11">
        <v>10878.48289186</v>
      </c>
      <c r="H200" s="11">
        <v>10878.44</v>
      </c>
      <c r="I200" s="11">
        <f>H200-G200</f>
        <v>-0.0428918599991448</v>
      </c>
    </row>
    <row r="201" spans="1:9">
      <c r="A201" s="3" t="s">
        <v>168</v>
      </c>
      <c r="B201" s="3" t="s">
        <v>417</v>
      </c>
      <c r="C201" s="3">
        <v>27</v>
      </c>
      <c r="D201" s="3">
        <v>27</v>
      </c>
      <c r="E201" s="8">
        <v>-17.181818</v>
      </c>
      <c r="F201" s="8">
        <v>-17.18</v>
      </c>
      <c r="G201" s="11">
        <v>10991.67775422</v>
      </c>
      <c r="H201" s="11">
        <v>10991.9</v>
      </c>
      <c r="I201" s="11">
        <f>H201-G201</f>
        <v>0.2222457799998665</v>
      </c>
    </row>
    <row r="202" spans="1:9">
      <c r="A202" s="3" t="s">
        <v>168</v>
      </c>
      <c r="B202" s="3" t="s">
        <v>418</v>
      </c>
      <c r="C202" s="3">
        <v>28</v>
      </c>
      <c r="D202" s="3">
        <v>28</v>
      </c>
      <c r="E202" s="8">
        <v>-17.181818</v>
      </c>
      <c r="F202" s="8">
        <v>-17.182</v>
      </c>
      <c r="G202" s="11">
        <v>11568.7565188</v>
      </c>
      <c r="H202" s="11">
        <v>11568.71</v>
      </c>
      <c r="I202" s="11">
        <f>H202-G202</f>
        <v>-0.04651880000164965</v>
      </c>
    </row>
    <row r="203" spans="1:9">
      <c r="A203" s="3" t="s">
        <v>168</v>
      </c>
      <c r="B203" s="3" t="s">
        <v>419</v>
      </c>
      <c r="C203" s="3">
        <v>28</v>
      </c>
      <c r="D203" s="3">
        <v>28</v>
      </c>
      <c r="E203" s="8">
        <v>-17.181818</v>
      </c>
      <c r="F203" s="8">
        <v>-17.182</v>
      </c>
      <c r="G203" s="11">
        <v>10634.59566232</v>
      </c>
      <c r="H203" s="11">
        <v>10634.53</v>
      </c>
      <c r="I203" s="11">
        <f>H203-G203</f>
        <v>-0.06566231999931915</v>
      </c>
    </row>
    <row r="204" spans="1:9">
      <c r="A204" s="3" t="s">
        <v>168</v>
      </c>
      <c r="B204" s="3" t="s">
        <v>420</v>
      </c>
      <c r="C204" s="3">
        <v>21</v>
      </c>
      <c r="D204" s="3">
        <v>21</v>
      </c>
      <c r="E204" s="8">
        <v>-13.265317</v>
      </c>
      <c r="F204" s="8">
        <v>-13.266</v>
      </c>
      <c r="G204" s="11">
        <v>9284.972438839999</v>
      </c>
      <c r="H204" s="11">
        <v>9284.85</v>
      </c>
      <c r="I204" s="11">
        <f>H204-G204</f>
        <v>-0.12243883999872196</v>
      </c>
    </row>
    <row r="205" spans="1:9">
      <c r="A205" s="3" t="s">
        <v>168</v>
      </c>
      <c r="B205" s="3" t="s">
        <v>421</v>
      </c>
      <c r="C205" s="3">
        <v>28</v>
      </c>
      <c r="D205" s="3">
        <v>28</v>
      </c>
      <c r="E205" s="8">
        <v>-17.181818</v>
      </c>
      <c r="F205" s="8">
        <v>-17.182</v>
      </c>
      <c r="G205" s="11">
        <v>8716.82551495</v>
      </c>
      <c r="H205" s="11">
        <v>8716.780000000001</v>
      </c>
      <c r="I205" s="11">
        <f>H205-G205</f>
        <v>-0.045514949999414966</v>
      </c>
    </row>
    <row r="206" spans="1:9">
      <c r="A206" s="3" t="s">
        <v>168</v>
      </c>
      <c r="B206" s="3" t="s">
        <v>422</v>
      </c>
      <c r="C206" s="3">
        <v>28</v>
      </c>
      <c r="D206" s="3">
        <v>28</v>
      </c>
      <c r="E206" s="8">
        <v>-17.181818</v>
      </c>
      <c r="F206" s="8">
        <v>-17.182</v>
      </c>
      <c r="G206" s="11">
        <v>12462.42251659</v>
      </c>
      <c r="H206" s="11">
        <v>12462.34</v>
      </c>
      <c r="I206" s="11">
        <f>H206-G206</f>
        <v>-0.08251658999870415</v>
      </c>
    </row>
    <row r="207" spans="1:9">
      <c r="A207" s="3" t="s">
        <v>168</v>
      </c>
      <c r="B207" s="3" t="s">
        <v>423</v>
      </c>
      <c r="C207" s="3">
        <v>28</v>
      </c>
      <c r="D207" s="3">
        <v>28</v>
      </c>
      <c r="E207" s="8">
        <v>-17.181818</v>
      </c>
      <c r="F207" s="8">
        <v>-17.182</v>
      </c>
      <c r="G207" s="11">
        <v>15267.18338976</v>
      </c>
      <c r="H207" s="11">
        <v>15267.09</v>
      </c>
      <c r="I207" s="11">
        <f>H207-G207</f>
        <v>-0.09338975999889954</v>
      </c>
    </row>
    <row r="208" spans="1:9">
      <c r="A208" s="3" t="s">
        <v>168</v>
      </c>
      <c r="B208" s="3" t="s">
        <v>424</v>
      </c>
      <c r="C208" s="3">
        <v>27</v>
      </c>
      <c r="D208" s="3">
        <v>27</v>
      </c>
      <c r="E208" s="8">
        <v>-17.181819</v>
      </c>
      <c r="F208" s="8">
        <v>-17.18</v>
      </c>
      <c r="G208" s="11">
        <v>15515.94745838</v>
      </c>
      <c r="H208" s="11">
        <v>15516.1</v>
      </c>
      <c r="I208" s="11">
        <f>H208-G208</f>
        <v>0.15254162000019278</v>
      </c>
    </row>
    <row r="209" spans="1:9">
      <c r="A209" s="3" t="s">
        <v>168</v>
      </c>
      <c r="B209" s="3" t="s">
        <v>425</v>
      </c>
      <c r="C209" s="3">
        <v>28</v>
      </c>
      <c r="D209" s="3">
        <v>28</v>
      </c>
      <c r="E209" s="8">
        <v>-17.181818</v>
      </c>
      <c r="F209" s="8">
        <v>-17.182</v>
      </c>
      <c r="G209" s="11">
        <v>14881.50368916</v>
      </c>
      <c r="H209" s="11">
        <v>14881.43</v>
      </c>
      <c r="I209" s="11">
        <f>H209-G209</f>
        <v>-0.07368916000086756</v>
      </c>
    </row>
    <row r="210" spans="1:9">
      <c r="A210" s="3" t="s">
        <v>168</v>
      </c>
      <c r="B210" s="3" t="s">
        <v>426</v>
      </c>
      <c r="C210" s="3">
        <v>21</v>
      </c>
      <c r="D210" s="3">
        <v>21</v>
      </c>
      <c r="E210" s="8">
        <v>-13.265317</v>
      </c>
      <c r="F210" s="8">
        <v>-13.266</v>
      </c>
      <c r="G210" s="11">
        <v>22095.5406251</v>
      </c>
      <c r="H210" s="11">
        <v>22095.42</v>
      </c>
      <c r="I210" s="11">
        <f>H210-G210</f>
        <v>-0.12062510000032489</v>
      </c>
    </row>
    <row r="211" spans="1:9">
      <c r="A211" s="3" t="s">
        <v>168</v>
      </c>
      <c r="B211" s="3" t="s">
        <v>427</v>
      </c>
      <c r="C211" s="3">
        <v>21</v>
      </c>
      <c r="D211" s="3">
        <v>21</v>
      </c>
      <c r="E211" s="8">
        <v>-13.265317</v>
      </c>
      <c r="F211" s="8">
        <v>-13.266</v>
      </c>
      <c r="G211" s="11">
        <v>43063.22834355</v>
      </c>
      <c r="H211" s="11">
        <v>43063.03</v>
      </c>
      <c r="I211" s="11">
        <f>H211-G211</f>
        <v>-0.19834355000057258</v>
      </c>
    </row>
    <row r="212" spans="1:9">
      <c r="A212" s="3" t="s">
        <v>168</v>
      </c>
      <c r="B212" s="3" t="s">
        <v>428</v>
      </c>
      <c r="C212" s="3">
        <v>27</v>
      </c>
      <c r="D212" s="3">
        <v>27</v>
      </c>
      <c r="E212" s="8">
        <v>-17.181818</v>
      </c>
      <c r="F212" s="8">
        <v>-17.18</v>
      </c>
      <c r="G212" s="11">
        <v>17037.82336796</v>
      </c>
      <c r="H212" s="11">
        <v>17037.98</v>
      </c>
      <c r="I212" s="11">
        <f>H212-G212</f>
        <v>0.1566320399979304</v>
      </c>
    </row>
    <row r="213" spans="1:9">
      <c r="A213" s="3" t="s">
        <v>168</v>
      </c>
      <c r="B213" s="3" t="s">
        <v>429</v>
      </c>
      <c r="C213" s="3">
        <v>28</v>
      </c>
      <c r="D213" s="3">
        <v>28</v>
      </c>
      <c r="E213" s="8">
        <v>-17.181818</v>
      </c>
      <c r="F213" s="8">
        <v>-17.181</v>
      </c>
      <c r="G213" s="11">
        <v>12526.00587835</v>
      </c>
      <c r="H213" s="11">
        <v>12526.03</v>
      </c>
      <c r="I213" s="11">
        <f>H213-G213</f>
        <v>0.024121650001688977</v>
      </c>
    </row>
    <row r="214" spans="1:9">
      <c r="A214" s="3" t="s">
        <v>168</v>
      </c>
      <c r="B214" s="3" t="s">
        <v>430</v>
      </c>
      <c r="C214" s="3">
        <v>27</v>
      </c>
      <c r="D214" s="3">
        <v>27</v>
      </c>
      <c r="E214" s="8">
        <v>-17.181818</v>
      </c>
      <c r="F214" s="8">
        <v>-17.18</v>
      </c>
      <c r="G214" s="11">
        <v>17708.48272893</v>
      </c>
      <c r="H214" s="11">
        <v>17708.62</v>
      </c>
      <c r="I214" s="11">
        <f>H214-G214</f>
        <v>0.1372710699979507</v>
      </c>
    </row>
    <row r="215" spans="1:9">
      <c r="A215" s="3" t="s">
        <v>168</v>
      </c>
      <c r="B215" s="3" t="s">
        <v>431</v>
      </c>
      <c r="C215" s="3">
        <v>27</v>
      </c>
      <c r="D215" s="3">
        <v>27</v>
      </c>
      <c r="E215" s="8">
        <v>-17.181819</v>
      </c>
      <c r="F215" s="8">
        <v>-17.18</v>
      </c>
      <c r="G215" s="11">
        <v>17406.41615514</v>
      </c>
      <c r="H215" s="11">
        <v>17406.55</v>
      </c>
      <c r="I215" s="11">
        <f>H215-G215</f>
        <v>0.13384485999995377</v>
      </c>
    </row>
    <row r="216" spans="1:9">
      <c r="A216" s="3" t="s">
        <v>168</v>
      </c>
      <c r="B216" s="3" t="s">
        <v>432</v>
      </c>
      <c r="C216" s="3">
        <v>28</v>
      </c>
      <c r="D216" s="3">
        <v>28</v>
      </c>
      <c r="E216" s="8">
        <v>-17.181819</v>
      </c>
      <c r="F216" s="8">
        <v>-17.18</v>
      </c>
      <c r="G216" s="11">
        <v>56011.92878992</v>
      </c>
      <c r="H216" s="11">
        <v>56011.98</v>
      </c>
      <c r="I216" s="11">
        <f>H216-G216</f>
        <v>0.05121007999696303</v>
      </c>
    </row>
    <row r="217" spans="1:9">
      <c r="A217" s="3" t="s">
        <v>168</v>
      </c>
      <c r="B217" s="3" t="s">
        <v>433</v>
      </c>
      <c r="C217" s="3">
        <v>28</v>
      </c>
      <c r="D217" s="3">
        <v>28</v>
      </c>
      <c r="E217" s="8">
        <v>-17.181818</v>
      </c>
      <c r="F217" s="8">
        <v>-17.182</v>
      </c>
      <c r="G217" s="11">
        <v>22894.97949147</v>
      </c>
      <c r="H217" s="11">
        <v>22894.87</v>
      </c>
      <c r="I217" s="11">
        <f>H217-G217</f>
        <v>-0.1094914700006484</v>
      </c>
    </row>
    <row r="218" spans="1:9">
      <c r="A218" s="3" t="s">
        <v>168</v>
      </c>
      <c r="B218" s="3" t="s">
        <v>434</v>
      </c>
      <c r="C218" s="3">
        <v>28</v>
      </c>
      <c r="D218" s="3">
        <v>28</v>
      </c>
      <c r="E218" s="8">
        <v>-17.181818</v>
      </c>
      <c r="F218" s="8">
        <v>-17.182</v>
      </c>
      <c r="G218" s="11">
        <v>11757.70163007</v>
      </c>
      <c r="H218" s="11">
        <v>11757.64</v>
      </c>
      <c r="I218" s="11">
        <f>H218-G218</f>
        <v>-0.06163007000031939</v>
      </c>
    </row>
    <row r="219" spans="1:9">
      <c r="A219" s="3" t="s">
        <v>168</v>
      </c>
      <c r="B219" s="3" t="s">
        <v>435</v>
      </c>
      <c r="C219" s="3">
        <v>27</v>
      </c>
      <c r="D219" s="3">
        <v>27</v>
      </c>
      <c r="E219" s="8">
        <v>-17.181818</v>
      </c>
      <c r="F219" s="8">
        <v>-17.18</v>
      </c>
      <c r="G219" s="11">
        <v>14914.89575199</v>
      </c>
      <c r="H219" s="11">
        <v>14915.09</v>
      </c>
      <c r="I219" s="11">
        <f>H219-G219</f>
        <v>0.19424801000059233</v>
      </c>
    </row>
    <row r="220" spans="1:9">
      <c r="A220" s="3" t="s">
        <v>168</v>
      </c>
      <c r="B220" s="3" t="s">
        <v>436</v>
      </c>
      <c r="C220" s="3">
        <v>28</v>
      </c>
      <c r="D220" s="3">
        <v>28</v>
      </c>
      <c r="E220" s="8">
        <v>-17.181818</v>
      </c>
      <c r="F220" s="8">
        <v>-17.182</v>
      </c>
      <c r="G220" s="11">
        <v>6135.65032474</v>
      </c>
      <c r="H220" s="11">
        <v>6135.58</v>
      </c>
      <c r="I220" s="11">
        <f>H220-G220</f>
        <v>-0.07032473999970534</v>
      </c>
    </row>
    <row r="221" spans="1:9">
      <c r="A221" s="3" t="s">
        <v>168</v>
      </c>
      <c r="B221" s="3" t="s">
        <v>437</v>
      </c>
      <c r="C221" s="3">
        <v>28</v>
      </c>
      <c r="D221" s="3">
        <v>28</v>
      </c>
      <c r="E221" s="8">
        <v>-17.181818</v>
      </c>
      <c r="F221" s="8">
        <v>-17.182</v>
      </c>
      <c r="G221" s="11">
        <v>4664.67492272</v>
      </c>
      <c r="H221" s="11">
        <v>4664.61</v>
      </c>
      <c r="I221" s="11">
        <f>H221-G221</f>
        <v>-0.06492272000014054</v>
      </c>
    </row>
    <row r="222" spans="1:9">
      <c r="A222" s="3" t="s">
        <v>168</v>
      </c>
      <c r="B222" s="3" t="s">
        <v>438</v>
      </c>
      <c r="C222" s="3">
        <v>27</v>
      </c>
      <c r="D222" s="3">
        <v>19</v>
      </c>
      <c r="E222" s="8">
        <v>-17.181818</v>
      </c>
      <c r="F222" s="8">
        <v>66.81999999999999</v>
      </c>
      <c r="G222" s="11">
        <v>7947.418573729999</v>
      </c>
      <c r="H222" s="11">
        <v>16500.75</v>
      </c>
      <c r="I222" s="11">
        <f>H222-G222</f>
        <v>8553.33142627</v>
      </c>
    </row>
    <row r="223" spans="1:9">
      <c r="A223" s="3" t="s">
        <v>168</v>
      </c>
      <c r="B223" s="3" t="s">
        <v>439</v>
      </c>
      <c r="C223" s="3">
        <v>27</v>
      </c>
      <c r="D223" s="3">
        <v>27</v>
      </c>
      <c r="E223" s="8">
        <v>-17.181818</v>
      </c>
      <c r="F223" s="8">
        <v>-17.18</v>
      </c>
      <c r="G223" s="11">
        <v>7164.60336874</v>
      </c>
      <c r="H223" s="11">
        <v>7164.789999999999</v>
      </c>
      <c r="I223" s="11">
        <f>H223-G223</f>
        <v>0.1866312599986486</v>
      </c>
    </row>
    <row r="224" spans="1:9">
      <c r="A224" s="3" t="s">
        <v>168</v>
      </c>
      <c r="B224" s="3" t="s">
        <v>440</v>
      </c>
      <c r="C224" s="3">
        <v>21</v>
      </c>
      <c r="D224" s="3">
        <v>21</v>
      </c>
      <c r="E224" s="8">
        <v>-13.265317</v>
      </c>
      <c r="F224" s="8">
        <v>-13.266</v>
      </c>
      <c r="G224" s="11">
        <v>10912.98090724</v>
      </c>
      <c r="H224" s="11">
        <v>10912.82</v>
      </c>
      <c r="I224" s="11">
        <f>H224-G224</f>
        <v>-0.16090724000059708</v>
      </c>
    </row>
    <row r="225" spans="1:9">
      <c r="A225" s="3" t="s">
        <v>168</v>
      </c>
      <c r="B225" s="3" t="s">
        <v>441</v>
      </c>
      <c r="C225" s="3">
        <v>19</v>
      </c>
      <c r="D225" s="3">
        <v>19</v>
      </c>
      <c r="E225" s="8">
        <v>-12.005317</v>
      </c>
      <c r="F225" s="8">
        <v>-12.006</v>
      </c>
      <c r="G225" s="11">
        <v>10561.97555275</v>
      </c>
      <c r="H225" s="11">
        <v>10561.84</v>
      </c>
      <c r="I225" s="11">
        <f>H225-G225</f>
        <v>-0.135552749999988</v>
      </c>
    </row>
    <row r="226" spans="1:9">
      <c r="A226" s="3" t="s">
        <v>168</v>
      </c>
      <c r="B226" s="3" t="s">
        <v>442</v>
      </c>
      <c r="C226" s="3">
        <v>28</v>
      </c>
      <c r="D226" s="3">
        <v>28</v>
      </c>
      <c r="E226" s="8">
        <v>-17.181818</v>
      </c>
      <c r="F226" s="8">
        <v>-17.182</v>
      </c>
      <c r="G226" s="11">
        <v>2943.915451350001</v>
      </c>
      <c r="H226" s="11">
        <v>2943.89</v>
      </c>
      <c r="I226" s="11">
        <f>H226-G226</f>
        <v>-0.0254513500003668</v>
      </c>
    </row>
    <row r="227" spans="1:9">
      <c r="A227" s="3" t="s">
        <v>168</v>
      </c>
      <c r="B227" s="3" t="s">
        <v>443</v>
      </c>
      <c r="C227" s="3">
        <v>28</v>
      </c>
      <c r="D227" s="3">
        <v>28</v>
      </c>
      <c r="E227" s="8">
        <v>-17.181818</v>
      </c>
      <c r="F227" s="8">
        <v>-17.182</v>
      </c>
      <c r="G227" s="11">
        <v>9119.80218269</v>
      </c>
      <c r="H227" s="11">
        <v>9119.709999999999</v>
      </c>
      <c r="I227" s="11">
        <f>H227-G227</f>
        <v>-0.09218269000120927</v>
      </c>
    </row>
    <row r="228" spans="1:9">
      <c r="A228" s="3" t="s">
        <v>168</v>
      </c>
      <c r="B228" s="3" t="s">
        <v>444</v>
      </c>
      <c r="C228" s="3">
        <v>28</v>
      </c>
      <c r="D228" s="3">
        <v>28</v>
      </c>
      <c r="E228" s="8">
        <v>-17.181818</v>
      </c>
      <c r="F228" s="8">
        <v>-17.182</v>
      </c>
      <c r="G228" s="11">
        <v>6892.94136126</v>
      </c>
      <c r="H228" s="11">
        <v>6892.92</v>
      </c>
      <c r="I228" s="11">
        <f>H228-G228</f>
        <v>-0.021361260000048787</v>
      </c>
    </row>
    <row r="229" spans="1:9">
      <c r="A229" s="3" t="s">
        <v>168</v>
      </c>
      <c r="B229" s="3" t="s">
        <v>445</v>
      </c>
      <c r="C229" s="3">
        <v>19</v>
      </c>
      <c r="D229" s="3">
        <v>11</v>
      </c>
      <c r="E229" s="8">
        <v>-12.005317</v>
      </c>
      <c r="F229" s="8">
        <v>71.994</v>
      </c>
      <c r="G229" s="11">
        <v>10066.62151422</v>
      </c>
      <c r="H229" s="11">
        <v>10569.83</v>
      </c>
      <c r="I229" s="11">
        <f>H229-G229</f>
        <v>503.20848578000005</v>
      </c>
    </row>
    <row r="230" spans="1:9">
      <c r="A230" s="3" t="s">
        <v>168</v>
      </c>
      <c r="B230" s="3" t="s">
        <v>446</v>
      </c>
      <c r="C230" s="3">
        <v>28</v>
      </c>
      <c r="D230" s="3">
        <v>28</v>
      </c>
      <c r="E230" s="8">
        <v>-17.181818</v>
      </c>
      <c r="F230" s="8">
        <v>-17.18</v>
      </c>
      <c r="G230" s="11">
        <v>8108.44226346</v>
      </c>
      <c r="H230" s="11">
        <v>8108.66</v>
      </c>
      <c r="I230" s="11">
        <f>H230-G230</f>
        <v>0.21773654000026</v>
      </c>
    </row>
    <row r="231" spans="1:9">
      <c r="A231" s="3" t="s">
        <v>168</v>
      </c>
      <c r="B231" s="3" t="s">
        <v>447</v>
      </c>
      <c r="C231" s="3">
        <v>19</v>
      </c>
      <c r="D231" s="3">
        <v>19</v>
      </c>
      <c r="E231" s="8">
        <v>-12.005317</v>
      </c>
      <c r="F231" s="8">
        <v>-12.006</v>
      </c>
      <c r="G231" s="11">
        <v>10894.78751148</v>
      </c>
      <c r="H231" s="11">
        <v>10894.66</v>
      </c>
      <c r="I231" s="11">
        <f>H231-G231</f>
        <v>-0.127511480000976</v>
      </c>
    </row>
    <row r="232" spans="1:9">
      <c r="A232" s="3" t="s">
        <v>168</v>
      </c>
      <c r="B232" s="3" t="s">
        <v>448</v>
      </c>
      <c r="C232" s="3">
        <v>23</v>
      </c>
      <c r="D232" s="3">
        <v>23</v>
      </c>
      <c r="E232" s="8">
        <v>-14.525317</v>
      </c>
      <c r="F232" s="8">
        <v>-14.526</v>
      </c>
      <c r="G232" s="11">
        <v>11522.4852121</v>
      </c>
      <c r="H232" s="11">
        <v>11522.35</v>
      </c>
      <c r="I232" s="11">
        <f>H232-G232</f>
        <v>-0.13521209999998973</v>
      </c>
    </row>
    <row r="233" spans="1:9">
      <c r="A233" s="3" t="s">
        <v>168</v>
      </c>
      <c r="B233" s="3" t="s">
        <v>449</v>
      </c>
      <c r="C233" s="3">
        <v>27</v>
      </c>
      <c r="D233" s="3">
        <v>27</v>
      </c>
      <c r="E233" s="8">
        <v>-17.181818</v>
      </c>
      <c r="F233" s="8">
        <v>-17.18</v>
      </c>
      <c r="G233" s="11">
        <v>9570.163275390001</v>
      </c>
      <c r="H233" s="11">
        <v>9570.380000000001</v>
      </c>
      <c r="I233" s="11">
        <f>H233-G233</f>
        <v>0.21672460999980103</v>
      </c>
    </row>
    <row r="234" spans="1:9">
      <c r="A234" s="3" t="s">
        <v>168</v>
      </c>
      <c r="B234" s="3" t="s">
        <v>450</v>
      </c>
      <c r="C234" s="3">
        <v>28</v>
      </c>
      <c r="D234" s="3">
        <v>28</v>
      </c>
      <c r="E234" s="8">
        <v>-17.181818</v>
      </c>
      <c r="F234" s="8">
        <v>-17.182</v>
      </c>
      <c r="G234" s="11">
        <v>8465.831721549999</v>
      </c>
      <c r="H234" s="11">
        <v>8465.76</v>
      </c>
      <c r="I234" s="11">
        <f>H234-G234</f>
        <v>-0.07172154999898339</v>
      </c>
    </row>
    <row r="235" spans="1:9">
      <c r="A235" s="3" t="s">
        <v>168</v>
      </c>
      <c r="B235" s="3" t="s">
        <v>451</v>
      </c>
      <c r="C235" s="3">
        <v>22</v>
      </c>
      <c r="D235" s="3">
        <v>22</v>
      </c>
      <c r="E235" s="8">
        <v>-13.963568</v>
      </c>
      <c r="F235" s="8">
        <v>-13.963</v>
      </c>
      <c r="G235" s="11">
        <v>8601.312155260001</v>
      </c>
      <c r="H235" s="11">
        <v>8601.389999999999</v>
      </c>
      <c r="I235" s="11">
        <f>H235-G235</f>
        <v>0.07784473999890906</v>
      </c>
    </row>
    <row r="236" spans="1:9">
      <c r="A236" s="3" t="s">
        <v>168</v>
      </c>
      <c r="B236" s="3" t="s">
        <v>452</v>
      </c>
      <c r="C236" s="3">
        <v>24</v>
      </c>
      <c r="D236" s="3">
        <v>24</v>
      </c>
      <c r="E236" s="8">
        <v>-14.879931</v>
      </c>
      <c r="F236" s="8">
        <v>-14.88</v>
      </c>
      <c r="G236" s="11">
        <v>13500.85574416</v>
      </c>
      <c r="H236" s="11">
        <v>13500.78</v>
      </c>
      <c r="I236" s="11">
        <f>H236-G236</f>
        <v>-0.0757441599998856</v>
      </c>
    </row>
    <row r="237" spans="1:9">
      <c r="A237" s="3" t="s">
        <v>168</v>
      </c>
      <c r="B237" s="3" t="s">
        <v>453</v>
      </c>
      <c r="C237" s="3">
        <v>27</v>
      </c>
      <c r="D237" s="3">
        <v>27</v>
      </c>
      <c r="E237" s="8">
        <v>-17.01</v>
      </c>
      <c r="F237" s="8">
        <v>-17.008</v>
      </c>
      <c r="G237" s="11">
        <v>16426.22631323</v>
      </c>
      <c r="H237" s="11">
        <v>16426.45</v>
      </c>
      <c r="I237" s="11">
        <f>H237-G237</f>
        <v>0.2236867700012226</v>
      </c>
    </row>
    <row r="238" spans="1:9">
      <c r="A238" s="3" t="s">
        <v>168</v>
      </c>
      <c r="B238" s="3" t="s">
        <v>454</v>
      </c>
      <c r="C238" s="3">
        <v>28</v>
      </c>
      <c r="D238" s="3">
        <v>28</v>
      </c>
      <c r="E238" s="8">
        <v>-17.181818</v>
      </c>
      <c r="F238" s="8">
        <v>-17.181</v>
      </c>
      <c r="G238" s="11">
        <v>15006.16184185</v>
      </c>
      <c r="H238" s="11">
        <v>15006.21</v>
      </c>
      <c r="I238" s="11">
        <f>H238-G238</f>
        <v>0.04815814999892609</v>
      </c>
    </row>
    <row r="239" spans="1:9">
      <c r="A239" s="3" t="s">
        <v>168</v>
      </c>
      <c r="B239" s="3" t="s">
        <v>455</v>
      </c>
      <c r="C239" s="3">
        <v>19</v>
      </c>
      <c r="D239" s="3">
        <v>19</v>
      </c>
      <c r="E239" s="8">
        <v>-12.005317</v>
      </c>
      <c r="F239" s="8">
        <v>-12.006</v>
      </c>
      <c r="G239" s="11">
        <v>18062.27822587</v>
      </c>
      <c r="H239" s="11">
        <v>18062.14</v>
      </c>
      <c r="I239" s="11">
        <f>H239-G239</f>
        <v>-0.1382258699995873</v>
      </c>
    </row>
    <row r="240" spans="1:9">
      <c r="A240" s="3" t="s">
        <v>168</v>
      </c>
      <c r="B240" s="3" t="s">
        <v>456</v>
      </c>
      <c r="C240" s="3">
        <v>28</v>
      </c>
      <c r="D240" s="3">
        <v>28</v>
      </c>
      <c r="E240" s="8">
        <v>-17.181818</v>
      </c>
      <c r="F240" s="8">
        <v>-17.182</v>
      </c>
      <c r="G240" s="11">
        <v>14362.53681221</v>
      </c>
      <c r="H240" s="11">
        <v>14362.44</v>
      </c>
      <c r="I240" s="11">
        <f>H240-G240</f>
        <v>-0.09681221000028017</v>
      </c>
    </row>
    <row r="241" spans="1:9">
      <c r="A241" s="3" t="s">
        <v>168</v>
      </c>
      <c r="B241" s="3" t="s">
        <v>457</v>
      </c>
      <c r="C241" s="3">
        <v>27</v>
      </c>
      <c r="D241" s="3">
        <v>27</v>
      </c>
      <c r="E241" s="8">
        <v>-17.181819</v>
      </c>
      <c r="F241" s="8">
        <v>-17.18</v>
      </c>
      <c r="G241" s="11">
        <v>17164.87887045</v>
      </c>
      <c r="H241" s="11">
        <v>17165.06</v>
      </c>
      <c r="I241" s="11">
        <f>H241-G241</f>
        <v>0.18112955000106012</v>
      </c>
    </row>
    <row r="242" spans="1:9">
      <c r="A242" s="3" t="s">
        <v>168</v>
      </c>
      <c r="B242" s="3" t="s">
        <v>458</v>
      </c>
      <c r="C242" s="3">
        <v>26</v>
      </c>
      <c r="D242" s="3">
        <v>26</v>
      </c>
      <c r="E242" s="8">
        <v>-16.139931</v>
      </c>
      <c r="F242" s="8">
        <v>-16.14</v>
      </c>
      <c r="G242" s="11">
        <v>12578.39273649</v>
      </c>
      <c r="H242" s="11">
        <v>12578.37</v>
      </c>
      <c r="I242" s="11">
        <f>H242-G242</f>
        <v>-0.022736490000170306</v>
      </c>
    </row>
    <row r="243" spans="1:9">
      <c r="A243" s="3" t="s">
        <v>168</v>
      </c>
      <c r="B243" s="3" t="s">
        <v>459</v>
      </c>
      <c r="C243" s="3">
        <v>28</v>
      </c>
      <c r="D243" s="3">
        <v>28</v>
      </c>
      <c r="E243" s="8">
        <v>-17.181818</v>
      </c>
      <c r="F243" s="8">
        <v>-17.182</v>
      </c>
      <c r="G243" s="11">
        <v>25534.4897726</v>
      </c>
      <c r="H243" s="11">
        <v>25534.26</v>
      </c>
      <c r="I243" s="11">
        <f>H243-G243</f>
        <v>-0.22977259999970556</v>
      </c>
    </row>
    <row r="244" spans="1:9">
      <c r="A244" s="3" t="s">
        <v>168</v>
      </c>
      <c r="B244" s="3" t="s">
        <v>460</v>
      </c>
      <c r="C244" s="3">
        <v>28</v>
      </c>
      <c r="D244" s="3">
        <v>28</v>
      </c>
      <c r="E244" s="8">
        <v>-17.181818</v>
      </c>
      <c r="F244" s="8">
        <v>-17.183</v>
      </c>
      <c r="G244" s="11">
        <v>16558.12832439</v>
      </c>
      <c r="H244" s="11">
        <v>16557.86</v>
      </c>
      <c r="I244" s="11">
        <f>H244-G244</f>
        <v>-0.2683243899991794</v>
      </c>
    </row>
    <row r="245" spans="1:9">
      <c r="A245" s="3" t="s">
        <v>168</v>
      </c>
      <c r="B245" s="3" t="s">
        <v>461</v>
      </c>
      <c r="C245" s="3">
        <v>28</v>
      </c>
      <c r="D245" s="3">
        <v>28</v>
      </c>
      <c r="E245" s="8">
        <v>-17.181818</v>
      </c>
      <c r="F245" s="8">
        <v>-17.182</v>
      </c>
      <c r="G245" s="11">
        <v>12187.98496631</v>
      </c>
      <c r="H245" s="11">
        <v>12187.91</v>
      </c>
      <c r="I245" s="11">
        <f>H245-G245</f>
        <v>-0.07496630999958143</v>
      </c>
    </row>
    <row r="246" spans="1:9">
      <c r="A246" s="3" t="s">
        <v>168</v>
      </c>
      <c r="B246" s="3" t="s">
        <v>462</v>
      </c>
      <c r="C246" s="3">
        <v>20</v>
      </c>
      <c r="D246" s="3">
        <v>20</v>
      </c>
      <c r="E246" s="8">
        <v>-12.359931</v>
      </c>
      <c r="F246" s="8">
        <v>-12.36</v>
      </c>
      <c r="G246" s="11">
        <v>11693.08925927</v>
      </c>
      <c r="H246" s="11">
        <v>11693.01</v>
      </c>
      <c r="I246" s="11">
        <f>H246-G246</f>
        <v>-0.07925926999996591</v>
      </c>
    </row>
    <row r="247" spans="1:9">
      <c r="A247" s="3" t="s">
        <v>168</v>
      </c>
      <c r="B247" s="3" t="s">
        <v>463</v>
      </c>
      <c r="C247" s="3">
        <v>27</v>
      </c>
      <c r="D247" s="3">
        <v>27</v>
      </c>
      <c r="E247" s="8">
        <v>-17.181819</v>
      </c>
      <c r="F247" s="8">
        <v>-17.18</v>
      </c>
      <c r="G247" s="11">
        <v>18330.69041374</v>
      </c>
      <c r="H247" s="11">
        <v>18330.95</v>
      </c>
      <c r="I247" s="11">
        <f>H247-G247</f>
        <v>0.25958625999919605</v>
      </c>
    </row>
    <row r="248" spans="1:9">
      <c r="A248" s="3" t="s">
        <v>168</v>
      </c>
      <c r="B248" s="3" t="s">
        <v>464</v>
      </c>
      <c r="C248" s="3">
        <v>28</v>
      </c>
      <c r="D248" s="3">
        <v>28</v>
      </c>
      <c r="E248" s="8">
        <v>-17.181818</v>
      </c>
      <c r="F248" s="8">
        <v>-17.182</v>
      </c>
      <c r="G248" s="11">
        <v>4432.92330866</v>
      </c>
      <c r="H248" s="11">
        <v>4432.84</v>
      </c>
      <c r="I248" s="11">
        <f>H248-G248</f>
        <v>-0.08330865999960224</v>
      </c>
    </row>
    <row r="249" spans="1:9">
      <c r="A249" s="3" t="s">
        <v>168</v>
      </c>
      <c r="B249" s="3" t="s">
        <v>465</v>
      </c>
      <c r="C249" s="3">
        <v>28</v>
      </c>
      <c r="D249" s="3">
        <v>28</v>
      </c>
      <c r="E249" s="8">
        <v>-17.181818</v>
      </c>
      <c r="F249" s="8">
        <v>-17.182</v>
      </c>
      <c r="G249" s="11">
        <v>7904.29515968</v>
      </c>
      <c r="H249" s="11">
        <v>7904.23</v>
      </c>
      <c r="I249" s="11">
        <f>H249-G249</f>
        <v>-0.065159680000761</v>
      </c>
    </row>
    <row r="250" spans="1:9">
      <c r="A250" s="3" t="s">
        <v>168</v>
      </c>
      <c r="B250" s="3" t="s">
        <v>466</v>
      </c>
      <c r="C250" s="3">
        <v>28</v>
      </c>
      <c r="D250" s="3">
        <v>28</v>
      </c>
      <c r="E250" s="8">
        <v>-17.181818</v>
      </c>
      <c r="F250" s="8">
        <v>-17.182</v>
      </c>
      <c r="G250" s="11">
        <v>8727.802642530001</v>
      </c>
      <c r="H250" s="11">
        <v>8727.75</v>
      </c>
      <c r="I250" s="11">
        <f>H250-G250</f>
        <v>-0.052642530001321575</v>
      </c>
    </row>
    <row r="251" spans="1:9">
      <c r="A251" s="3" t="s">
        <v>168</v>
      </c>
      <c r="B251" s="3" t="s">
        <v>467</v>
      </c>
      <c r="C251" s="3">
        <v>28</v>
      </c>
      <c r="D251" s="3">
        <v>28</v>
      </c>
      <c r="E251" s="8">
        <v>-17.181818</v>
      </c>
      <c r="F251" s="8">
        <v>-17.182</v>
      </c>
      <c r="G251" s="11">
        <v>9586.40764168</v>
      </c>
      <c r="H251" s="11">
        <v>9586.300000000001</v>
      </c>
      <c r="I251" s="11">
        <f>H251-G251</f>
        <v>-0.10764167999877827</v>
      </c>
    </row>
    <row r="252" spans="1:9">
      <c r="A252" s="3" t="s">
        <v>168</v>
      </c>
      <c r="B252" s="3" t="s">
        <v>468</v>
      </c>
      <c r="C252" s="3">
        <v>23</v>
      </c>
      <c r="D252" s="3">
        <v>23</v>
      </c>
      <c r="E252" s="8">
        <v>-14.525317</v>
      </c>
      <c r="F252" s="8">
        <v>-14.526</v>
      </c>
      <c r="G252" s="11">
        <v>11819.5054283</v>
      </c>
      <c r="H252" s="11">
        <v>11819.37</v>
      </c>
      <c r="I252" s="11">
        <f>H252-G252</f>
        <v>-0.1354283000000578</v>
      </c>
    </row>
    <row r="253" spans="1:9">
      <c r="A253" s="3" t="s">
        <v>168</v>
      </c>
      <c r="B253" s="3" t="s">
        <v>469</v>
      </c>
      <c r="C253" s="3">
        <v>19</v>
      </c>
      <c r="D253" s="3">
        <v>19</v>
      </c>
      <c r="E253" s="8">
        <v>-12.005317</v>
      </c>
      <c r="F253" s="8">
        <v>-12.006</v>
      </c>
      <c r="G253" s="11">
        <v>13357.12860868</v>
      </c>
      <c r="H253" s="11">
        <v>13357.02</v>
      </c>
      <c r="I253" s="11">
        <f>H253-G253</f>
        <v>-0.10860867999872426</v>
      </c>
    </row>
    <row r="254" spans="1:9">
      <c r="A254" s="3" t="s">
        <v>168</v>
      </c>
      <c r="B254" s="3" t="s">
        <v>470</v>
      </c>
      <c r="C254" s="3">
        <v>27</v>
      </c>
      <c r="D254" s="3">
        <v>27</v>
      </c>
      <c r="E254" s="8">
        <v>-17.181818</v>
      </c>
      <c r="F254" s="8">
        <v>-17.18</v>
      </c>
      <c r="G254" s="11">
        <v>10194.57219392</v>
      </c>
      <c r="H254" s="11">
        <v>10194.79</v>
      </c>
      <c r="I254" s="11">
        <f>H254-G254</f>
        <v>0.21780607999971835</v>
      </c>
    </row>
    <row r="255" spans="1:9">
      <c r="A255" s="3" t="s">
        <v>168</v>
      </c>
      <c r="B255" s="3" t="s">
        <v>471</v>
      </c>
      <c r="C255" s="3">
        <v>26</v>
      </c>
      <c r="D255" s="3">
        <v>26</v>
      </c>
      <c r="E255" s="8">
        <v>-16.117974</v>
      </c>
      <c r="F255" s="8">
        <v>-16.119</v>
      </c>
      <c r="G255" s="11">
        <v>10458.92197354</v>
      </c>
      <c r="H255" s="11">
        <v>10458.74</v>
      </c>
      <c r="I255" s="11">
        <f>H255-G255</f>
        <v>-0.18197354000039923</v>
      </c>
    </row>
    <row r="256" spans="1:9">
      <c r="A256" s="3" t="s">
        <v>168</v>
      </c>
      <c r="B256" s="3" t="s">
        <v>472</v>
      </c>
      <c r="C256" s="3">
        <v>27</v>
      </c>
      <c r="D256" s="3">
        <v>27</v>
      </c>
      <c r="E256" s="8">
        <v>-17.181818</v>
      </c>
      <c r="F256" s="8">
        <v>-17.18</v>
      </c>
      <c r="G256" s="11">
        <v>8715.68044466</v>
      </c>
      <c r="H256" s="11">
        <v>8715.900000000001</v>
      </c>
      <c r="I256" s="11">
        <f>H256-G256</f>
        <v>0.2195553400015342</v>
      </c>
    </row>
    <row r="257" spans="1:9">
      <c r="A257" s="3" t="s">
        <v>168</v>
      </c>
      <c r="B257" s="3" t="s">
        <v>473</v>
      </c>
      <c r="C257" s="3">
        <v>23</v>
      </c>
      <c r="D257" s="3">
        <v>23</v>
      </c>
      <c r="E257" s="8">
        <v>-14.525317</v>
      </c>
      <c r="F257" s="8">
        <v>-14.526</v>
      </c>
      <c r="G257" s="11">
        <v>9623.570071120001</v>
      </c>
      <c r="H257" s="11">
        <v>9623.42</v>
      </c>
      <c r="I257" s="11">
        <f>H257-G257</f>
        <v>-0.15007112000057532</v>
      </c>
    </row>
    <row r="258" spans="1:9">
      <c r="A258" s="3" t="s">
        <v>168</v>
      </c>
      <c r="B258" s="3" t="s">
        <v>474</v>
      </c>
      <c r="C258" s="3">
        <v>21</v>
      </c>
      <c r="D258" s="3">
        <v>21</v>
      </c>
      <c r="E258" s="8">
        <v>-13.265317</v>
      </c>
      <c r="F258" s="8">
        <v>-13.266</v>
      </c>
      <c r="G258" s="11">
        <v>3978.53654726</v>
      </c>
      <c r="H258" s="11">
        <v>3978.43</v>
      </c>
      <c r="I258" s="11">
        <f>H258-G258</f>
        <v>-0.10654725999938819</v>
      </c>
    </row>
    <row r="259" spans="1:9">
      <c r="A259" s="3" t="s">
        <v>168</v>
      </c>
      <c r="B259" s="3" t="s">
        <v>475</v>
      </c>
      <c r="C259" s="3">
        <v>21</v>
      </c>
      <c r="D259" s="3">
        <v>21</v>
      </c>
      <c r="E259" s="8">
        <v>-13.265317</v>
      </c>
      <c r="F259" s="8">
        <v>-13.266</v>
      </c>
      <c r="G259" s="11">
        <v>10280.86879111</v>
      </c>
      <c r="H259" s="11">
        <v>10280.8</v>
      </c>
      <c r="I259" s="11">
        <f>H259-G259</f>
        <v>-0.06879111000125704</v>
      </c>
    </row>
    <row r="260" spans="1:9">
      <c r="A260" s="3" t="s">
        <v>168</v>
      </c>
      <c r="B260" s="3" t="s">
        <v>476</v>
      </c>
      <c r="C260" s="3">
        <v>17</v>
      </c>
      <c r="D260" s="3">
        <v>17</v>
      </c>
      <c r="E260" s="8">
        <v>-10.745317</v>
      </c>
      <c r="F260" s="8">
        <v>-10.746</v>
      </c>
      <c r="G260" s="11">
        <v>9465.26302092</v>
      </c>
      <c r="H260" s="11">
        <v>9465.17</v>
      </c>
      <c r="I260" s="11">
        <f>H260-G260</f>
        <v>-0.09302091999961704</v>
      </c>
    </row>
    <row r="261" spans="1:9">
      <c r="A261" s="3" t="s">
        <v>168</v>
      </c>
      <c r="B261" s="3" t="s">
        <v>477</v>
      </c>
      <c r="C261" s="3">
        <v>28</v>
      </c>
      <c r="D261" s="3">
        <v>28</v>
      </c>
      <c r="E261" s="8">
        <v>-17.181818</v>
      </c>
      <c r="F261" s="8">
        <v>-17.182</v>
      </c>
      <c r="G261" s="11">
        <v>10589.20747397</v>
      </c>
      <c r="H261" s="11">
        <v>10589.15</v>
      </c>
      <c r="I261" s="11">
        <f>H261-G261</f>
        <v>-0.05747397000050114</v>
      </c>
    </row>
    <row r="262" spans="1:9">
      <c r="A262" s="3" t="s">
        <v>168</v>
      </c>
      <c r="B262" s="3" t="s">
        <v>478</v>
      </c>
      <c r="C262" s="3">
        <v>28</v>
      </c>
      <c r="D262" s="3">
        <v>28</v>
      </c>
      <c r="E262" s="8">
        <v>-17.181818</v>
      </c>
      <c r="F262" s="8">
        <v>-17.182</v>
      </c>
      <c r="G262" s="11">
        <v>8241.460095459999</v>
      </c>
      <c r="H262" s="11">
        <v>8241.379999999999</v>
      </c>
      <c r="I262" s="11">
        <f>H262-G262</f>
        <v>-0.08009545999993861</v>
      </c>
    </row>
    <row r="263" spans="1:9">
      <c r="A263" s="3" t="s">
        <v>168</v>
      </c>
      <c r="B263" s="3" t="s">
        <v>479</v>
      </c>
      <c r="C263" s="3">
        <v>23</v>
      </c>
      <c r="D263" s="3">
        <v>23</v>
      </c>
      <c r="E263" s="8">
        <v>-14.318182</v>
      </c>
      <c r="F263" s="8">
        <v>-14.317</v>
      </c>
      <c r="G263" s="11">
        <v>6064.572982760001</v>
      </c>
      <c r="H263" s="11">
        <v>6064.72</v>
      </c>
      <c r="I263" s="11">
        <f>H263-G263</f>
        <v>0.14701723999951355</v>
      </c>
    </row>
    <row r="264" spans="1:9">
      <c r="A264" s="3" t="s">
        <v>168</v>
      </c>
      <c r="B264" s="3" t="s">
        <v>480</v>
      </c>
      <c r="C264" s="3">
        <v>21</v>
      </c>
      <c r="D264" s="3">
        <v>21</v>
      </c>
      <c r="E264" s="8">
        <v>-13.265317</v>
      </c>
      <c r="F264" s="8">
        <v>-13.266</v>
      </c>
      <c r="G264" s="11">
        <v>21586.64909413</v>
      </c>
      <c r="H264" s="11">
        <v>21586.44</v>
      </c>
      <c r="I264" s="11">
        <f>H264-G264</f>
        <v>-0.2090941299975384</v>
      </c>
    </row>
    <row r="265" spans="1:9">
      <c r="A265" s="3" t="s">
        <v>168</v>
      </c>
      <c r="B265" s="3" t="s">
        <v>481</v>
      </c>
      <c r="C265" s="3">
        <v>28</v>
      </c>
      <c r="D265" s="3">
        <v>28</v>
      </c>
      <c r="E265" s="8">
        <v>-17.181818</v>
      </c>
      <c r="F265" s="8">
        <v>-17.182</v>
      </c>
      <c r="G265" s="11">
        <v>12992.80783247</v>
      </c>
      <c r="H265" s="11">
        <v>12992.67</v>
      </c>
      <c r="I265" s="11">
        <f>H265-G265</f>
        <v>-0.13783246999992116</v>
      </c>
    </row>
    <row r="266" spans="1:9">
      <c r="A266" s="3" t="s">
        <v>168</v>
      </c>
      <c r="B266" s="3" t="s">
        <v>482</v>
      </c>
      <c r="C266" s="3">
        <v>22</v>
      </c>
      <c r="D266" s="3">
        <v>22</v>
      </c>
      <c r="E266" s="8">
        <v>-13.963568</v>
      </c>
      <c r="F266" s="8">
        <v>-13.963</v>
      </c>
      <c r="G266" s="11">
        <v>12605.28325631</v>
      </c>
      <c r="H266" s="11">
        <v>12605.3</v>
      </c>
      <c r="I266" s="11">
        <f>H266-G266</f>
        <v>0.016743690001021605</v>
      </c>
    </row>
    <row r="267" spans="1:9">
      <c r="A267" s="3" t="s">
        <v>168</v>
      </c>
      <c r="B267" s="3" t="s">
        <v>483</v>
      </c>
      <c r="C267" s="3">
        <v>21</v>
      </c>
      <c r="D267" s="3">
        <v>21</v>
      </c>
      <c r="E267" s="8">
        <v>-13.265317</v>
      </c>
      <c r="F267" s="8">
        <v>-13.266</v>
      </c>
      <c r="G267" s="11">
        <v>11716.99965589</v>
      </c>
      <c r="H267" s="11">
        <v>11716.84</v>
      </c>
      <c r="I267" s="11">
        <f>H267-G267</f>
        <v>-0.1596558900000673</v>
      </c>
    </row>
    <row r="268" spans="1:9">
      <c r="A268" s="3" t="s">
        <v>168</v>
      </c>
      <c r="B268" s="3" t="s">
        <v>484</v>
      </c>
      <c r="C268" s="3">
        <v>28</v>
      </c>
      <c r="D268" s="3">
        <v>28</v>
      </c>
      <c r="E268" s="8">
        <v>-17.181818</v>
      </c>
      <c r="F268" s="8">
        <v>-17.182</v>
      </c>
      <c r="G268" s="11">
        <v>15592.30328612</v>
      </c>
      <c r="H268" s="11">
        <v>15592.17</v>
      </c>
      <c r="I268" s="11">
        <f>H268-G268</f>
        <v>-0.13328612000077555</v>
      </c>
    </row>
    <row r="269" spans="1:9">
      <c r="A269" s="3" t="s">
        <v>168</v>
      </c>
      <c r="B269" s="3" t="s">
        <v>485</v>
      </c>
      <c r="C269" s="3">
        <v>26</v>
      </c>
      <c r="D269" s="3">
        <v>26</v>
      </c>
      <c r="E269" s="8">
        <v>-16.117974</v>
      </c>
      <c r="F269" s="8">
        <v>-16.119</v>
      </c>
      <c r="G269" s="11">
        <v>35438.36852125</v>
      </c>
      <c r="H269" s="11">
        <v>35437.87</v>
      </c>
      <c r="I269" s="11">
        <f>H269-G269</f>
        <v>-0.49852124999597436</v>
      </c>
    </row>
    <row r="270" spans="1:9">
      <c r="A270" s="3" t="s">
        <v>168</v>
      </c>
      <c r="B270" s="3" t="s">
        <v>486</v>
      </c>
      <c r="C270" s="3">
        <v>28</v>
      </c>
      <c r="D270" s="3">
        <v>28</v>
      </c>
      <c r="E270" s="8">
        <v>-17.181818</v>
      </c>
      <c r="F270" s="8">
        <v>-17.183</v>
      </c>
      <c r="G270" s="11">
        <v>42696.26042054</v>
      </c>
      <c r="H270" s="11">
        <v>42695.63</v>
      </c>
      <c r="I270" s="11">
        <f>H270-G270</f>
        <v>-0.6304205400010687</v>
      </c>
    </row>
    <row r="271" spans="1:9">
      <c r="A271" s="3" t="s">
        <v>168</v>
      </c>
      <c r="B271" s="3" t="s">
        <v>487</v>
      </c>
      <c r="C271" s="3">
        <v>28</v>
      </c>
      <c r="D271" s="3">
        <v>28</v>
      </c>
      <c r="E271" s="8">
        <v>-17.181818</v>
      </c>
      <c r="F271" s="8">
        <v>-17.182</v>
      </c>
      <c r="G271" s="11">
        <v>19214.52458427</v>
      </c>
      <c r="H271" s="11">
        <v>19214.37</v>
      </c>
      <c r="I271" s="11">
        <f>H271-G271</f>
        <v>-0.15458426999975927</v>
      </c>
    </row>
    <row r="272" spans="1:9">
      <c r="A272" s="3" t="s">
        <v>168</v>
      </c>
      <c r="B272" s="3" t="s">
        <v>488</v>
      </c>
      <c r="C272" s="3">
        <v>23</v>
      </c>
      <c r="D272" s="3">
        <v>23</v>
      </c>
      <c r="E272" s="8">
        <v>-14.525317</v>
      </c>
      <c r="F272" s="8">
        <v>-14.526</v>
      </c>
      <c r="G272" s="11">
        <v>21264.27421307</v>
      </c>
      <c r="H272" s="11">
        <v>21264.07</v>
      </c>
      <c r="I272" s="11">
        <f>H272-G272</f>
        <v>-0.20421306999924127</v>
      </c>
    </row>
    <row r="273" spans="1:9">
      <c r="A273" s="3" t="s">
        <v>168</v>
      </c>
      <c r="B273" s="3" t="s">
        <v>489</v>
      </c>
      <c r="C273" s="3">
        <v>26</v>
      </c>
      <c r="D273" s="3">
        <v>26</v>
      </c>
      <c r="E273" s="8">
        <v>-16.483568</v>
      </c>
      <c r="F273" s="8">
        <v>-16.483</v>
      </c>
      <c r="G273" s="11">
        <v>15873.22097944</v>
      </c>
      <c r="H273" s="11">
        <v>15873.29</v>
      </c>
      <c r="I273" s="11">
        <f>H273-G273</f>
        <v>0.06902056000035373</v>
      </c>
    </row>
    <row r="274" spans="1:9">
      <c r="A274" s="3" t="s">
        <v>168</v>
      </c>
      <c r="B274" s="3" t="s">
        <v>490</v>
      </c>
      <c r="C274" s="3">
        <v>28</v>
      </c>
      <c r="D274" s="3">
        <v>28</v>
      </c>
      <c r="E274" s="8">
        <v>-17.181818</v>
      </c>
      <c r="F274" s="8">
        <v>-17.181</v>
      </c>
      <c r="G274" s="11">
        <v>11890.78286075</v>
      </c>
      <c r="H274" s="11">
        <v>11890.8</v>
      </c>
      <c r="I274" s="11">
        <f>H274-G274</f>
        <v>0.017139249999672757</v>
      </c>
    </row>
    <row r="275" spans="1:9">
      <c r="A275" s="3" t="s">
        <v>168</v>
      </c>
      <c r="B275" s="3" t="s">
        <v>491</v>
      </c>
      <c r="C275" s="3">
        <v>28</v>
      </c>
      <c r="D275" s="3">
        <v>28</v>
      </c>
      <c r="E275" s="8">
        <v>-17.181818</v>
      </c>
      <c r="F275" s="8">
        <v>-17.182</v>
      </c>
      <c r="G275" s="11">
        <v>13987.98595096</v>
      </c>
      <c r="H275" s="11">
        <v>13987.86</v>
      </c>
      <c r="I275" s="11">
        <f>H275-G275</f>
        <v>-0.1259509599985904</v>
      </c>
    </row>
    <row r="276" spans="1:9">
      <c r="A276" s="3" t="s">
        <v>168</v>
      </c>
      <c r="B276" s="3" t="s">
        <v>492</v>
      </c>
      <c r="C276" s="3">
        <v>28</v>
      </c>
      <c r="D276" s="3">
        <v>28</v>
      </c>
      <c r="E276" s="8">
        <v>-17.181818</v>
      </c>
      <c r="F276" s="8">
        <v>-17.182</v>
      </c>
      <c r="G276" s="11">
        <v>25813.16426718</v>
      </c>
      <c r="H276" s="11">
        <v>25812.92</v>
      </c>
      <c r="I276" s="11">
        <f>H276-G276</f>
        <v>-0.24426717999813263</v>
      </c>
    </row>
    <row r="277" spans="1:9">
      <c r="A277" s="3" t="s">
        <v>168</v>
      </c>
      <c r="B277" s="3" t="s">
        <v>493</v>
      </c>
      <c r="C277" s="3">
        <v>28</v>
      </c>
      <c r="D277" s="3">
        <v>28</v>
      </c>
      <c r="E277" s="8">
        <v>-17.181818</v>
      </c>
      <c r="F277" s="8">
        <v>-17.183</v>
      </c>
      <c r="G277" s="11">
        <v>9199.64863602</v>
      </c>
      <c r="H277" s="11">
        <v>9199.33</v>
      </c>
      <c r="I277" s="11">
        <f>H277-G277</f>
        <v>-0.318636019999758</v>
      </c>
    </row>
    <row r="278" spans="1:9">
      <c r="A278" s="3" t="s">
        <v>168</v>
      </c>
      <c r="B278" s="3" t="s">
        <v>494</v>
      </c>
      <c r="C278" s="3">
        <v>27</v>
      </c>
      <c r="D278" s="3">
        <v>27</v>
      </c>
      <c r="E278" s="8">
        <v>-17.045317</v>
      </c>
      <c r="F278" s="8">
        <v>-17.046</v>
      </c>
      <c r="G278" s="11">
        <v>8848.374176560001</v>
      </c>
      <c r="H278" s="11">
        <v>8848.24</v>
      </c>
      <c r="I278" s="11">
        <f>H278-G278</f>
        <v>-0.13417656000092393</v>
      </c>
    </row>
    <row r="279" spans="1:9">
      <c r="A279" s="3" t="s">
        <v>168</v>
      </c>
      <c r="B279" s="3" t="s">
        <v>495</v>
      </c>
      <c r="C279" s="3">
        <v>26</v>
      </c>
      <c r="D279" s="3">
        <v>26</v>
      </c>
      <c r="E279" s="8">
        <v>-16.311749</v>
      </c>
      <c r="F279" s="8">
        <v>-16.311</v>
      </c>
      <c r="G279" s="11">
        <v>10014.58597721</v>
      </c>
      <c r="H279" s="11">
        <v>10014.62</v>
      </c>
      <c r="I279" s="11">
        <f>H279-G279</f>
        <v>0.03402279000147246</v>
      </c>
    </row>
    <row r="280" spans="1:9">
      <c r="A280" s="3" t="s">
        <v>168</v>
      </c>
      <c r="B280" s="3" t="s">
        <v>496</v>
      </c>
      <c r="C280" s="3">
        <v>23</v>
      </c>
      <c r="D280" s="3">
        <v>23</v>
      </c>
      <c r="E280" s="8">
        <v>-14.525317</v>
      </c>
      <c r="F280" s="8">
        <v>-14.526</v>
      </c>
      <c r="G280" s="11">
        <v>11149.35846096</v>
      </c>
      <c r="H280" s="11">
        <v>11149.25</v>
      </c>
      <c r="I280" s="11">
        <f>H280-G280</f>
        <v>-0.10846096000022953</v>
      </c>
    </row>
    <row r="281" spans="1:9">
      <c r="A281" s="3" t="s">
        <v>168</v>
      </c>
      <c r="B281" s="3" t="s">
        <v>497</v>
      </c>
      <c r="C281" s="3">
        <v>17</v>
      </c>
      <c r="D281" s="3">
        <v>17</v>
      </c>
      <c r="E281" s="8">
        <v>-10.745317</v>
      </c>
      <c r="F281" s="8">
        <v>-10.746</v>
      </c>
      <c r="G281" s="11">
        <v>10690.97131097</v>
      </c>
      <c r="H281" s="11">
        <v>10690.83</v>
      </c>
      <c r="I281" s="11">
        <f>H281-G281</f>
        <v>-0.14131097000063164</v>
      </c>
    </row>
    <row r="282" spans="1:9">
      <c r="A282" s="3" t="s">
        <v>168</v>
      </c>
      <c r="B282" s="3" t="s">
        <v>498</v>
      </c>
      <c r="C282" s="3">
        <v>28</v>
      </c>
      <c r="D282" s="3">
        <v>28</v>
      </c>
      <c r="E282" s="8">
        <v>-17.181818</v>
      </c>
      <c r="F282" s="8">
        <v>-17.182</v>
      </c>
      <c r="G282" s="11">
        <v>9581.10572333</v>
      </c>
      <c r="H282" s="11">
        <v>9581.02</v>
      </c>
      <c r="I282" s="11">
        <f>H282-G282</f>
        <v>-0.08572332999938226</v>
      </c>
    </row>
    <row r="283" spans="1:9">
      <c r="A283" s="3" t="s">
        <v>168</v>
      </c>
      <c r="B283" s="3" t="s">
        <v>499</v>
      </c>
      <c r="C283" s="3">
        <v>27</v>
      </c>
      <c r="D283" s="3">
        <v>27</v>
      </c>
      <c r="E283" s="8">
        <v>-17.181818</v>
      </c>
      <c r="F283" s="8">
        <v>-17.18</v>
      </c>
      <c r="G283" s="11">
        <v>9153.480109979999</v>
      </c>
      <c r="H283" s="11">
        <v>9153.639999999999</v>
      </c>
      <c r="I283" s="11">
        <f>H283-G283</f>
        <v>0.15989002000060282</v>
      </c>
    </row>
    <row r="284" spans="1:9">
      <c r="A284" s="3" t="s">
        <v>168</v>
      </c>
      <c r="B284" s="3" t="s">
        <v>500</v>
      </c>
      <c r="C284" s="3">
        <v>20</v>
      </c>
      <c r="D284" s="3">
        <v>20</v>
      </c>
      <c r="E284" s="8">
        <v>-12.359931</v>
      </c>
      <c r="F284" s="8">
        <v>-12.36</v>
      </c>
      <c r="G284" s="11">
        <v>11112.79688477</v>
      </c>
      <c r="H284" s="11">
        <v>11112.73</v>
      </c>
      <c r="I284" s="11">
        <f>H284-G284</f>
        <v>-0.0668847699998878</v>
      </c>
    </row>
    <row r="285" spans="1:9">
      <c r="A285" s="3" t="s">
        <v>168</v>
      </c>
      <c r="B285" s="3" t="s">
        <v>501</v>
      </c>
      <c r="C285" s="3">
        <v>17</v>
      </c>
      <c r="D285" s="3">
        <v>17</v>
      </c>
      <c r="E285" s="8">
        <v>-10.745317</v>
      </c>
      <c r="F285" s="8">
        <v>-10.746</v>
      </c>
      <c r="G285" s="11">
        <v>10124.88269461</v>
      </c>
      <c r="H285" s="11">
        <v>10124.7</v>
      </c>
      <c r="I285" s="11">
        <f>H285-G285</f>
        <v>-0.18269461000090814</v>
      </c>
    </row>
    <row r="286" spans="1:9">
      <c r="A286" s="3" t="s">
        <v>168</v>
      </c>
      <c r="B286" s="3" t="s">
        <v>502</v>
      </c>
      <c r="C286" s="3">
        <v>21</v>
      </c>
      <c r="D286" s="3">
        <v>21</v>
      </c>
      <c r="E286" s="8">
        <v>-13.265317</v>
      </c>
      <c r="F286" s="8">
        <v>-13.266</v>
      </c>
      <c r="G286" s="11">
        <v>9880.99128876</v>
      </c>
      <c r="H286" s="11">
        <v>9880.84</v>
      </c>
      <c r="I286" s="11">
        <f>H286-G286</f>
        <v>-0.15128876000017044</v>
      </c>
    </row>
    <row r="287" spans="1:9">
      <c r="A287" s="3" t="s">
        <v>168</v>
      </c>
      <c r="B287" s="3" t="s">
        <v>503</v>
      </c>
      <c r="C287" s="3">
        <v>17</v>
      </c>
      <c r="D287" s="3">
        <v>17</v>
      </c>
      <c r="E287" s="8">
        <v>-10.745317</v>
      </c>
      <c r="F287" s="8">
        <v>-10.746</v>
      </c>
      <c r="G287" s="11">
        <v>12108.96622712</v>
      </c>
      <c r="H287" s="11">
        <v>12108.81</v>
      </c>
      <c r="I287" s="11">
        <f>H287-G287</f>
        <v>-0.15622712000003958</v>
      </c>
    </row>
    <row r="288" spans="1:9">
      <c r="A288" s="3" t="s">
        <v>168</v>
      </c>
      <c r="B288" s="3" t="s">
        <v>504</v>
      </c>
      <c r="C288" s="3">
        <v>17</v>
      </c>
      <c r="D288" s="3">
        <v>17</v>
      </c>
      <c r="E288" s="8">
        <v>-10.745317</v>
      </c>
      <c r="F288" s="8">
        <v>-10.746</v>
      </c>
      <c r="G288" s="11">
        <v>11923.41558032</v>
      </c>
      <c r="H288" s="11">
        <v>11923.3</v>
      </c>
      <c r="I288" s="11">
        <f>H288-G288</f>
        <v>-0.11558031999993545</v>
      </c>
    </row>
    <row r="289" spans="1:9">
      <c r="A289" s="3" t="s">
        <v>168</v>
      </c>
      <c r="B289" s="3" t="s">
        <v>505</v>
      </c>
      <c r="C289" s="3">
        <v>27</v>
      </c>
      <c r="D289" s="3">
        <v>27</v>
      </c>
      <c r="E289" s="8">
        <v>-17.181819</v>
      </c>
      <c r="F289" s="8">
        <v>-17.18</v>
      </c>
      <c r="G289" s="11">
        <v>10325.03442456</v>
      </c>
      <c r="H289" s="11">
        <v>10325.24</v>
      </c>
      <c r="I289" s="11">
        <f>H289-G289</f>
        <v>0.20557544000075723</v>
      </c>
    </row>
    <row r="290" spans="1:9">
      <c r="A290" s="3" t="s">
        <v>168</v>
      </c>
      <c r="B290" s="3" t="s">
        <v>506</v>
      </c>
      <c r="C290" s="3">
        <v>21</v>
      </c>
      <c r="D290" s="3">
        <v>21</v>
      </c>
      <c r="E290" s="8">
        <v>-13.265317</v>
      </c>
      <c r="F290" s="8">
        <v>-13.266</v>
      </c>
      <c r="G290" s="11">
        <v>8210.63234634</v>
      </c>
      <c r="H290" s="11">
        <v>8210.530000000001</v>
      </c>
      <c r="I290" s="11">
        <f>H290-G290</f>
        <v>-0.10234633999971265</v>
      </c>
    </row>
    <row r="291" spans="1:9">
      <c r="A291" s="3" t="s">
        <v>168</v>
      </c>
      <c r="B291" s="3" t="s">
        <v>507</v>
      </c>
      <c r="C291" s="3">
        <v>22</v>
      </c>
      <c r="D291" s="3">
        <v>22</v>
      </c>
      <c r="E291" s="8">
        <v>-13.791749</v>
      </c>
      <c r="F291" s="8">
        <v>-13.791</v>
      </c>
      <c r="G291" s="11">
        <v>9543.58722084</v>
      </c>
      <c r="H291" s="11">
        <v>9543.619999999999</v>
      </c>
      <c r="I291" s="11">
        <f>H291-G291</f>
        <v>0.032779159999336116</v>
      </c>
    </row>
    <row r="292" spans="1:9">
      <c r="A292" s="3" t="s">
        <v>168</v>
      </c>
      <c r="B292" s="3" t="s">
        <v>508</v>
      </c>
      <c r="C292" s="3">
        <v>25</v>
      </c>
      <c r="D292" s="3">
        <v>25</v>
      </c>
      <c r="E292" s="8">
        <v>-15.785317</v>
      </c>
      <c r="F292" s="8">
        <v>-15.786</v>
      </c>
      <c r="G292" s="11">
        <v>14144.87623598</v>
      </c>
      <c r="H292" s="11">
        <v>14144.69</v>
      </c>
      <c r="I292" s="11">
        <f>H292-G292</f>
        <v>-0.18623597999976482</v>
      </c>
    </row>
    <row r="293" spans="1:9">
      <c r="A293" s="3" t="s">
        <v>168</v>
      </c>
      <c r="B293" s="3" t="s">
        <v>509</v>
      </c>
      <c r="C293" s="3">
        <v>24</v>
      </c>
      <c r="D293" s="3">
        <v>24</v>
      </c>
      <c r="E293" s="8">
        <v>-15.395386</v>
      </c>
      <c r="F293" s="8">
        <v>-15.395</v>
      </c>
      <c r="G293" s="11">
        <v>3540.03428495</v>
      </c>
      <c r="H293" s="11">
        <v>3540.1</v>
      </c>
      <c r="I293" s="11">
        <f>H293-G293</f>
        <v>0.06571505000010802</v>
      </c>
    </row>
    <row r="294" spans="1:9">
      <c r="A294" s="3" t="s">
        <v>168</v>
      </c>
      <c r="B294" s="3" t="s">
        <v>510</v>
      </c>
      <c r="C294" s="3">
        <v>17</v>
      </c>
      <c r="D294" s="3">
        <v>17</v>
      </c>
      <c r="E294" s="8">
        <v>-10.745317</v>
      </c>
      <c r="F294" s="8">
        <v>-10.746</v>
      </c>
      <c r="G294" s="11">
        <v>11883.41176097</v>
      </c>
      <c r="H294" s="11">
        <v>11883.24</v>
      </c>
      <c r="I294" s="11">
        <f>H294-G294</f>
        <v>-0.17176097000083246</v>
      </c>
    </row>
    <row r="295" spans="1:9">
      <c r="A295" s="3" t="s">
        <v>168</v>
      </c>
      <c r="B295" s="3" t="s">
        <v>511</v>
      </c>
      <c r="C295" s="3">
        <v>17</v>
      </c>
      <c r="D295" s="3">
        <v>17</v>
      </c>
      <c r="E295" s="8">
        <v>-10.745317</v>
      </c>
      <c r="F295" s="8">
        <v>-10.746</v>
      </c>
      <c r="G295" s="11">
        <v>11747.0686808</v>
      </c>
      <c r="H295" s="11">
        <v>11746.94</v>
      </c>
      <c r="I295" s="11">
        <f>H295-G295</f>
        <v>-0.12868080000043847</v>
      </c>
    </row>
    <row r="296" spans="1:9">
      <c r="A296" s="3" t="s">
        <v>168</v>
      </c>
      <c r="B296" s="3" t="s">
        <v>512</v>
      </c>
      <c r="C296" s="3">
        <v>27</v>
      </c>
      <c r="D296" s="3">
        <v>27</v>
      </c>
      <c r="E296" s="8">
        <v>-17.181818</v>
      </c>
      <c r="F296" s="8">
        <v>-17.18</v>
      </c>
      <c r="G296" s="11">
        <v>13768.25462962</v>
      </c>
      <c r="H296" s="11">
        <v>13768.48</v>
      </c>
      <c r="I296" s="11">
        <f>H296-G296</f>
        <v>0.22537037999973109</v>
      </c>
    </row>
    <row r="297" spans="1:9">
      <c r="A297" s="3" t="s">
        <v>168</v>
      </c>
      <c r="B297" s="3" t="s">
        <v>513</v>
      </c>
      <c r="C297" s="3">
        <v>28</v>
      </c>
      <c r="D297" s="3">
        <v>28</v>
      </c>
      <c r="E297" s="8">
        <v>-17.181818</v>
      </c>
      <c r="F297" s="8">
        <v>-17.182</v>
      </c>
      <c r="G297" s="11">
        <v>13252.4931778</v>
      </c>
      <c r="H297" s="11">
        <v>13252.41</v>
      </c>
      <c r="I297" s="11">
        <f>H297-G297</f>
        <v>-0.08317779999924824</v>
      </c>
    </row>
    <row r="298" spans="1:9">
      <c r="A298" s="3" t="s">
        <v>168</v>
      </c>
      <c r="B298" s="3" t="s">
        <v>514</v>
      </c>
      <c r="C298" s="3">
        <v>19</v>
      </c>
      <c r="D298" s="3">
        <v>19</v>
      </c>
      <c r="E298" s="8">
        <v>-12.005317</v>
      </c>
      <c r="F298" s="8">
        <v>-12.006</v>
      </c>
      <c r="G298" s="11">
        <v>12158.81242023</v>
      </c>
      <c r="H298" s="11">
        <v>12158.64</v>
      </c>
      <c r="I298" s="11">
        <f>H298-G298</f>
        <v>-0.1724202300010802</v>
      </c>
    </row>
    <row r="299" spans="1:9">
      <c r="A299" s="3" t="s">
        <v>168</v>
      </c>
      <c r="B299" s="3" t="s">
        <v>515</v>
      </c>
      <c r="C299" s="3">
        <v>19</v>
      </c>
      <c r="D299" s="3">
        <v>19</v>
      </c>
      <c r="E299" s="8">
        <v>-12.005317</v>
      </c>
      <c r="F299" s="8">
        <v>-12.006</v>
      </c>
      <c r="G299" s="11">
        <v>13240.30461783</v>
      </c>
      <c r="H299" s="11">
        <v>13240.12</v>
      </c>
      <c r="I299" s="11">
        <f>H299-G299</f>
        <v>-0.1846178299983876</v>
      </c>
    </row>
    <row r="300" spans="1:9">
      <c r="A300" s="3" t="s">
        <v>168</v>
      </c>
      <c r="B300" s="3" t="s">
        <v>516</v>
      </c>
      <c r="C300" s="3">
        <v>17</v>
      </c>
      <c r="D300" s="3">
        <v>17</v>
      </c>
      <c r="E300" s="8">
        <v>-10.745317</v>
      </c>
      <c r="F300" s="8">
        <v>-10.746</v>
      </c>
      <c r="G300" s="11">
        <v>13948.51825105</v>
      </c>
      <c r="H300" s="11">
        <v>13948.33</v>
      </c>
      <c r="I300" s="11">
        <f>H300-G300</f>
        <v>-0.18825104999996256</v>
      </c>
    </row>
    <row r="301" spans="1:9">
      <c r="A301" s="3" t="s">
        <v>168</v>
      </c>
      <c r="B301" s="3" t="s">
        <v>517</v>
      </c>
      <c r="C301" s="3">
        <v>19</v>
      </c>
      <c r="D301" s="3">
        <v>19</v>
      </c>
      <c r="E301" s="8">
        <v>-12.005317</v>
      </c>
      <c r="F301" s="8">
        <v>-12.006</v>
      </c>
      <c r="G301" s="11">
        <v>13445.3930616</v>
      </c>
      <c r="H301" s="11">
        <v>13445.25</v>
      </c>
      <c r="I301" s="11">
        <f>H301-G301</f>
        <v>-0.14306159999978263</v>
      </c>
    </row>
    <row r="302" spans="1:9">
      <c r="A302" s="3" t="s">
        <v>168</v>
      </c>
      <c r="B302" s="3" t="s">
        <v>518</v>
      </c>
      <c r="C302" s="3">
        <v>19</v>
      </c>
      <c r="D302" s="3">
        <v>19</v>
      </c>
      <c r="E302" s="8">
        <v>-12.005317</v>
      </c>
      <c r="F302" s="8">
        <v>-12.006</v>
      </c>
      <c r="G302" s="11">
        <v>12270.92621938</v>
      </c>
      <c r="H302" s="11">
        <v>12270.8</v>
      </c>
      <c r="I302" s="11">
        <f>H302-G302</f>
        <v>-0.1262193800012028</v>
      </c>
    </row>
    <row r="303" spans="1:9">
      <c r="A303" s="3" t="s">
        <v>168</v>
      </c>
      <c r="B303" s="3" t="s">
        <v>519</v>
      </c>
      <c r="C303" s="3">
        <v>27</v>
      </c>
      <c r="D303" s="3">
        <v>27</v>
      </c>
      <c r="E303" s="8">
        <v>-17.181818</v>
      </c>
      <c r="F303" s="8">
        <v>-17.18</v>
      </c>
      <c r="G303" s="11">
        <v>12904.51339139</v>
      </c>
      <c r="H303" s="11">
        <v>12904.64</v>
      </c>
      <c r="I303" s="11">
        <f>H303-G303</f>
        <v>0.12660861000040313</v>
      </c>
    </row>
    <row r="304" spans="1:9">
      <c r="A304" s="3" t="s">
        <v>168</v>
      </c>
      <c r="B304" s="3" t="s">
        <v>520</v>
      </c>
      <c r="C304" s="3">
        <v>28</v>
      </c>
      <c r="D304" s="3">
        <v>28</v>
      </c>
      <c r="E304" s="8">
        <v>-17.181818</v>
      </c>
      <c r="F304" s="8">
        <v>-17.182</v>
      </c>
      <c r="G304" s="11">
        <v>15764.75371182</v>
      </c>
      <c r="H304" s="11">
        <v>15764.62</v>
      </c>
      <c r="I304" s="11">
        <f>H304-G304</f>
        <v>-0.13371182000082626</v>
      </c>
    </row>
    <row r="305" spans="1:9">
      <c r="A305" s="3" t="s">
        <v>168</v>
      </c>
      <c r="B305" s="3" t="s">
        <v>521</v>
      </c>
      <c r="C305" s="3">
        <v>28</v>
      </c>
      <c r="D305" s="3">
        <v>28</v>
      </c>
      <c r="E305" s="8">
        <v>-17.181818</v>
      </c>
      <c r="F305" s="8">
        <v>-17.18</v>
      </c>
      <c r="G305" s="11">
        <v>19766.50668893</v>
      </c>
      <c r="H305" s="11">
        <v>19766.74</v>
      </c>
      <c r="I305" s="11">
        <f>H305-G305</f>
        <v>0.23331107000194606</v>
      </c>
    </row>
    <row r="306" spans="1:9">
      <c r="A306" s="3" t="s">
        <v>168</v>
      </c>
      <c r="B306" s="3" t="s">
        <v>522</v>
      </c>
      <c r="C306" s="3">
        <v>27</v>
      </c>
      <c r="D306" s="3">
        <v>27</v>
      </c>
      <c r="E306" s="8">
        <v>-17.181819</v>
      </c>
      <c r="F306" s="8">
        <v>-17.18</v>
      </c>
      <c r="G306" s="11">
        <v>13407.28169584</v>
      </c>
      <c r="H306" s="11">
        <v>13407.52</v>
      </c>
      <c r="I306" s="11">
        <f>H306-G306</f>
        <v>0.23830416000055266</v>
      </c>
    </row>
    <row r="307" spans="1:9">
      <c r="A307" s="3" t="s">
        <v>168</v>
      </c>
      <c r="B307" s="3" t="s">
        <v>523</v>
      </c>
      <c r="C307" s="3">
        <v>19</v>
      </c>
      <c r="D307" s="3">
        <v>19</v>
      </c>
      <c r="E307" s="8">
        <v>-12.005317</v>
      </c>
      <c r="F307" s="8">
        <v>-12.006</v>
      </c>
      <c r="G307" s="11">
        <v>7477.1297683</v>
      </c>
      <c r="H307" s="11">
        <v>7476.98</v>
      </c>
      <c r="I307" s="11">
        <f>H307-G307</f>
        <v>-0.1497682999997778</v>
      </c>
    </row>
    <row r="308" spans="1:9">
      <c r="A308" s="3" t="s">
        <v>168</v>
      </c>
      <c r="B308" s="3" t="s">
        <v>524</v>
      </c>
      <c r="C308" s="3">
        <v>17</v>
      </c>
      <c r="D308" s="3">
        <v>17</v>
      </c>
      <c r="E308" s="8">
        <v>-10.745317</v>
      </c>
      <c r="F308" s="8">
        <v>-10.746</v>
      </c>
      <c r="G308" s="11">
        <v>13896.89282201</v>
      </c>
      <c r="H308" s="11">
        <v>13896.73</v>
      </c>
      <c r="I308" s="11">
        <f>H308-G308</f>
        <v>-0.1628220100010367</v>
      </c>
    </row>
    <row r="309" spans="1:9">
      <c r="A309" s="3" t="s">
        <v>168</v>
      </c>
      <c r="B309" s="3" t="s">
        <v>525</v>
      </c>
      <c r="C309" s="3">
        <v>17</v>
      </c>
      <c r="D309" s="3">
        <v>17</v>
      </c>
      <c r="E309" s="8">
        <v>-10.745317</v>
      </c>
      <c r="F309" s="8">
        <v>-10.746</v>
      </c>
      <c r="G309" s="11">
        <v>14370.55025593</v>
      </c>
      <c r="H309" s="11">
        <v>14370.37</v>
      </c>
      <c r="I309" s="11">
        <f>H309-G309</f>
        <v>-0.18025593000129447</v>
      </c>
    </row>
    <row r="310" spans="1:9">
      <c r="A310" s="3" t="s">
        <v>168</v>
      </c>
      <c r="B310" s="3" t="s">
        <v>526</v>
      </c>
      <c r="C310" s="3">
        <v>28</v>
      </c>
      <c r="D310" s="3">
        <v>28</v>
      </c>
      <c r="E310" s="8">
        <v>-17.181818</v>
      </c>
      <c r="F310" s="8">
        <v>-17.182</v>
      </c>
      <c r="G310" s="11">
        <v>12599.07342984</v>
      </c>
      <c r="H310" s="11">
        <v>12598.96</v>
      </c>
      <c r="I310" s="11">
        <f>H310-G310</f>
        <v>-0.11342983999929857</v>
      </c>
    </row>
    <row r="311" spans="1:9">
      <c r="A311" s="3" t="s">
        <v>168</v>
      </c>
      <c r="B311" s="3" t="s">
        <v>527</v>
      </c>
      <c r="C311" s="3">
        <v>27</v>
      </c>
      <c r="D311" s="3">
        <v>27</v>
      </c>
      <c r="E311" s="8">
        <v>-17.181818</v>
      </c>
      <c r="F311" s="8">
        <v>-17.18</v>
      </c>
      <c r="G311" s="11">
        <v>11758.40993443</v>
      </c>
      <c r="H311" s="11">
        <v>11758.64</v>
      </c>
      <c r="I311" s="11">
        <f>H311-G311</f>
        <v>0.23006557000007888</v>
      </c>
    </row>
    <row r="312" spans="1:9">
      <c r="A312" s="3" t="s">
        <v>168</v>
      </c>
      <c r="B312" s="3" t="s">
        <v>528</v>
      </c>
      <c r="C312" s="3">
        <v>28</v>
      </c>
      <c r="D312" s="3">
        <v>28</v>
      </c>
      <c r="E312" s="8">
        <v>-17.181818</v>
      </c>
      <c r="F312" s="8">
        <v>-17.182</v>
      </c>
      <c r="G312" s="11">
        <v>13813.57446167</v>
      </c>
      <c r="H312" s="11">
        <v>13813.47</v>
      </c>
      <c r="I312" s="11">
        <f>H312-G312</f>
        <v>-0.10446167000009154</v>
      </c>
    </row>
    <row r="313" spans="1:9">
      <c r="A313" s="3" t="s">
        <v>168</v>
      </c>
      <c r="B313" s="3" t="s">
        <v>529</v>
      </c>
      <c r="C313" s="3">
        <v>24</v>
      </c>
      <c r="D313" s="3">
        <v>24</v>
      </c>
      <c r="E313" s="8">
        <v>-15.051749</v>
      </c>
      <c r="F313" s="8">
        <v>-15.051</v>
      </c>
      <c r="G313" s="11">
        <v>13048.09506532</v>
      </c>
      <c r="H313" s="11">
        <v>13048.15</v>
      </c>
      <c r="I313" s="11">
        <f>H313-G313</f>
        <v>0.054934679999860236</v>
      </c>
    </row>
    <row r="314" spans="1:9">
      <c r="A314" s="3" t="s">
        <v>168</v>
      </c>
      <c r="B314" s="3" t="s">
        <v>530</v>
      </c>
      <c r="C314" s="3">
        <v>17</v>
      </c>
      <c r="D314" s="3">
        <v>17</v>
      </c>
      <c r="E314" s="8">
        <v>-10.745317</v>
      </c>
      <c r="F314" s="8">
        <v>-10.746</v>
      </c>
      <c r="G314" s="11">
        <v>12221.89329897</v>
      </c>
      <c r="H314" s="11">
        <v>12221.74</v>
      </c>
      <c r="I314" s="11">
        <f>H314-G314</f>
        <v>-0.15329897000083292</v>
      </c>
    </row>
    <row r="315" spans="1:9">
      <c r="A315" s="3" t="s">
        <v>168</v>
      </c>
      <c r="B315" s="3" t="s">
        <v>531</v>
      </c>
      <c r="C315" s="3">
        <v>19</v>
      </c>
      <c r="D315" s="3">
        <v>19</v>
      </c>
      <c r="E315" s="8">
        <v>-12.005317</v>
      </c>
      <c r="F315" s="8">
        <v>-12.006</v>
      </c>
      <c r="G315" s="11">
        <v>14565.89713658</v>
      </c>
      <c r="H315" s="11">
        <v>14565.72</v>
      </c>
      <c r="I315" s="11">
        <f>H315-G315</f>
        <v>-0.1771365800013882</v>
      </c>
    </row>
    <row r="316" spans="1:9">
      <c r="A316" s="3" t="s">
        <v>168</v>
      </c>
      <c r="B316" s="3" t="s">
        <v>532</v>
      </c>
      <c r="C316" s="3">
        <v>20</v>
      </c>
      <c r="D316" s="3">
        <v>20</v>
      </c>
      <c r="E316" s="8">
        <v>-12.359931</v>
      </c>
      <c r="F316" s="8">
        <v>-12.36</v>
      </c>
      <c r="G316" s="11">
        <v>13229.50243157</v>
      </c>
      <c r="H316" s="11">
        <v>13229.47</v>
      </c>
      <c r="I316" s="11">
        <f>H316-G316</f>
        <v>-0.03243156999997154</v>
      </c>
    </row>
    <row r="317" spans="1:9">
      <c r="A317" s="3" t="s">
        <v>168</v>
      </c>
      <c r="B317" s="3" t="s">
        <v>533</v>
      </c>
      <c r="C317" s="3">
        <v>28</v>
      </c>
      <c r="D317" s="3">
        <v>28</v>
      </c>
      <c r="E317" s="8">
        <v>-17.181818</v>
      </c>
      <c r="F317" s="8">
        <v>-17.182</v>
      </c>
      <c r="G317" s="11">
        <v>13563.64284169</v>
      </c>
      <c r="H317" s="11">
        <v>13563.55</v>
      </c>
      <c r="I317" s="11">
        <f>H317-G317</f>
        <v>-0.09284169000056863</v>
      </c>
    </row>
    <row r="318" spans="1:9">
      <c r="A318" s="3" t="s">
        <v>168</v>
      </c>
      <c r="B318" s="3" t="s">
        <v>534</v>
      </c>
      <c r="C318" s="3">
        <v>27</v>
      </c>
      <c r="D318" s="3">
        <v>27</v>
      </c>
      <c r="E318" s="8">
        <v>-17.181818</v>
      </c>
      <c r="F318" s="8">
        <v>-17.18</v>
      </c>
      <c r="G318" s="11">
        <v>15125.99939714</v>
      </c>
      <c r="H318" s="11">
        <v>15126.23</v>
      </c>
      <c r="I318" s="11">
        <f>H318-G318</f>
        <v>0.23060285999963526</v>
      </c>
    </row>
    <row r="319" spans="1:9">
      <c r="A319" s="3" t="s">
        <v>168</v>
      </c>
      <c r="B319" s="3" t="s">
        <v>535</v>
      </c>
      <c r="C319" s="3">
        <v>28</v>
      </c>
      <c r="D319" s="3">
        <v>28</v>
      </c>
      <c r="E319" s="8">
        <v>-17.181818</v>
      </c>
      <c r="F319" s="8">
        <v>-17.182</v>
      </c>
      <c r="G319" s="11">
        <v>20177.77170983</v>
      </c>
      <c r="H319" s="11">
        <v>20177.64</v>
      </c>
      <c r="I319" s="11">
        <f>H319-G319</f>
        <v>-0.1317098299987265</v>
      </c>
    </row>
    <row r="320" spans="1:9">
      <c r="A320" s="3" t="s">
        <v>168</v>
      </c>
      <c r="B320" s="3" t="s">
        <v>536</v>
      </c>
      <c r="C320" s="3">
        <v>28</v>
      </c>
      <c r="D320" s="3">
        <v>28</v>
      </c>
      <c r="E320" s="8">
        <v>-17.181818</v>
      </c>
      <c r="F320" s="8">
        <v>-17.182</v>
      </c>
      <c r="G320" s="11">
        <v>26428.39390701</v>
      </c>
      <c r="H320" s="11">
        <v>26428.24</v>
      </c>
      <c r="I320" s="11">
        <f>H320-G320</f>
        <v>-0.15390700999705587</v>
      </c>
    </row>
    <row r="321" spans="1:9">
      <c r="A321" s="3" t="s">
        <v>168</v>
      </c>
      <c r="B321" s="3" t="s">
        <v>537</v>
      </c>
      <c r="C321" s="3">
        <v>24</v>
      </c>
      <c r="D321" s="3">
        <v>24</v>
      </c>
      <c r="E321" s="8">
        <v>-15.051749</v>
      </c>
      <c r="F321" s="8">
        <v>-15.051</v>
      </c>
      <c r="G321" s="11">
        <v>17980.7768354</v>
      </c>
      <c r="H321" s="11">
        <v>17980.82</v>
      </c>
      <c r="I321" s="11">
        <f>H321-G321</f>
        <v>0.043164599999727216</v>
      </c>
    </row>
    <row r="322" spans="1:9">
      <c r="A322" s="3" t="s">
        <v>168</v>
      </c>
      <c r="B322" s="3" t="s">
        <v>538</v>
      </c>
      <c r="C322" s="3">
        <v>24</v>
      </c>
      <c r="D322" s="3">
        <v>24</v>
      </c>
      <c r="E322" s="8">
        <v>-15.223568</v>
      </c>
      <c r="F322" s="8">
        <v>-15.223</v>
      </c>
      <c r="G322" s="11">
        <v>13736.72251775</v>
      </c>
      <c r="H322" s="11">
        <v>13736.76</v>
      </c>
      <c r="I322" s="11">
        <f>H322-G322</f>
        <v>0.037482249999811756</v>
      </c>
    </row>
    <row r="323" spans="1:9">
      <c r="A323" s="3" t="s">
        <v>168</v>
      </c>
      <c r="B323" s="3" t="s">
        <v>539</v>
      </c>
      <c r="C323" s="3">
        <v>19</v>
      </c>
      <c r="D323" s="3">
        <v>19</v>
      </c>
      <c r="E323" s="8">
        <v>-12.005317</v>
      </c>
      <c r="F323" s="8">
        <v>-12.006</v>
      </c>
      <c r="G323" s="11">
        <v>11607.86722814</v>
      </c>
      <c r="H323" s="11">
        <v>11607.71</v>
      </c>
      <c r="I323" s="11">
        <f>H323-G323</f>
        <v>-0.15722813999855134</v>
      </c>
    </row>
    <row r="324" spans="1:9">
      <c r="A324" s="3" t="s">
        <v>168</v>
      </c>
      <c r="B324" s="3" t="s">
        <v>540</v>
      </c>
      <c r="C324" s="3">
        <v>28</v>
      </c>
      <c r="D324" s="3">
        <v>28</v>
      </c>
      <c r="E324" s="8">
        <v>-17.181818</v>
      </c>
      <c r="F324" s="8">
        <v>-17.182</v>
      </c>
      <c r="G324" s="11">
        <v>4546.306381380001</v>
      </c>
      <c r="H324" s="11">
        <v>4546.24</v>
      </c>
      <c r="I324" s="11">
        <f>H324-G324</f>
        <v>-0.06638138000107574</v>
      </c>
    </row>
    <row r="325" spans="1:9">
      <c r="A325" s="3" t="s">
        <v>168</v>
      </c>
      <c r="B325" s="3" t="s">
        <v>541</v>
      </c>
      <c r="C325" s="3">
        <v>28</v>
      </c>
      <c r="D325" s="3">
        <v>28</v>
      </c>
      <c r="E325" s="8">
        <v>-17.181818</v>
      </c>
      <c r="F325" s="8">
        <v>-17.182</v>
      </c>
      <c r="G325" s="11">
        <v>4684.39645272</v>
      </c>
      <c r="H325" s="11">
        <v>4684.329999999999</v>
      </c>
      <c r="I325" s="11">
        <f>H325-G325</f>
        <v>-0.06645272000059776</v>
      </c>
    </row>
    <row r="326" spans="1:9">
      <c r="A326" s="3" t="s">
        <v>168</v>
      </c>
      <c r="B326" s="3" t="s">
        <v>542</v>
      </c>
      <c r="C326" s="3">
        <v>28</v>
      </c>
      <c r="D326" s="3">
        <v>28</v>
      </c>
      <c r="E326" s="8">
        <v>-17.181818</v>
      </c>
      <c r="F326" s="8">
        <v>-17.182</v>
      </c>
      <c r="G326" s="11">
        <v>4959.147174579999</v>
      </c>
      <c r="H326" s="11">
        <v>4959.070000000001</v>
      </c>
      <c r="I326" s="11">
        <f>H326-G326</f>
        <v>-0.07717457999842736</v>
      </c>
    </row>
    <row r="327" spans="1:9">
      <c r="A327" s="3" t="s">
        <v>168</v>
      </c>
      <c r="B327" s="3" t="s">
        <v>543</v>
      </c>
      <c r="C327" s="3">
        <v>22</v>
      </c>
      <c r="D327" s="3">
        <v>22</v>
      </c>
      <c r="E327" s="8">
        <v>-13.791749</v>
      </c>
      <c r="F327" s="8">
        <v>-13.791</v>
      </c>
      <c r="G327" s="11">
        <v>9227.92210363</v>
      </c>
      <c r="H327" s="11">
        <v>9227.99</v>
      </c>
      <c r="I327" s="11">
        <f>H327-G327</f>
        <v>0.06789636999928916</v>
      </c>
    </row>
    <row r="328" spans="1:9">
      <c r="A328" s="3" t="s">
        <v>168</v>
      </c>
      <c r="B328" s="3" t="s">
        <v>544</v>
      </c>
      <c r="C328" s="3">
        <v>27</v>
      </c>
      <c r="D328" s="3">
        <v>27</v>
      </c>
      <c r="E328" s="8">
        <v>-17.01</v>
      </c>
      <c r="F328" s="8">
        <v>-17.009</v>
      </c>
      <c r="G328" s="11">
        <v>3738.84221536</v>
      </c>
      <c r="H328" s="11">
        <v>3739</v>
      </c>
      <c r="I328" s="11">
        <f>H328-G328</f>
        <v>0.15778464000050008</v>
      </c>
    </row>
    <row r="329" spans="1:9">
      <c r="A329" s="3" t="s">
        <v>168</v>
      </c>
      <c r="B329" s="3" t="s">
        <v>545</v>
      </c>
      <c r="C329" s="3">
        <v>17</v>
      </c>
      <c r="D329" s="3">
        <v>17</v>
      </c>
      <c r="E329" s="8">
        <v>-10.745317</v>
      </c>
      <c r="F329" s="8">
        <v>-10.746</v>
      </c>
      <c r="G329" s="11">
        <v>13183.75763118</v>
      </c>
      <c r="H329" s="11">
        <v>13183.58</v>
      </c>
      <c r="I329" s="11">
        <f>H329-G329</f>
        <v>-0.17763118000038958</v>
      </c>
    </row>
    <row r="330" spans="1:9">
      <c r="A330" s="3" t="s">
        <v>168</v>
      </c>
      <c r="B330" s="3" t="s">
        <v>546</v>
      </c>
      <c r="C330" s="3">
        <v>17</v>
      </c>
      <c r="D330" s="3">
        <v>17</v>
      </c>
      <c r="E330" s="8">
        <v>-10.745317</v>
      </c>
      <c r="F330" s="8">
        <v>-10.746</v>
      </c>
      <c r="G330" s="11">
        <v>12796.31650329</v>
      </c>
      <c r="H330" s="11">
        <v>12796.18</v>
      </c>
      <c r="I330" s="11">
        <f>H330-G330</f>
        <v>-0.1365032899993821</v>
      </c>
    </row>
    <row r="331" spans="1:9">
      <c r="A331" s="3" t="s">
        <v>168</v>
      </c>
      <c r="B331" s="3" t="s">
        <v>547</v>
      </c>
      <c r="C331" s="3">
        <v>27</v>
      </c>
      <c r="D331" s="3">
        <v>27</v>
      </c>
      <c r="E331" s="8">
        <v>-17.181818</v>
      </c>
      <c r="F331" s="8">
        <v>-17.18</v>
      </c>
      <c r="G331" s="11">
        <v>15350.90899157</v>
      </c>
      <c r="H331" s="11">
        <v>15351.16</v>
      </c>
      <c r="I331" s="11">
        <f>H331-G331</f>
        <v>0.2510084300010931</v>
      </c>
    </row>
    <row r="332" spans="1:9">
      <c r="A332" s="3" t="s">
        <v>168</v>
      </c>
      <c r="B332" s="3" t="s">
        <v>548</v>
      </c>
      <c r="C332" s="3">
        <v>27</v>
      </c>
      <c r="D332" s="3">
        <v>27</v>
      </c>
      <c r="E332" s="8">
        <v>-17.181818</v>
      </c>
      <c r="F332" s="8">
        <v>-17.18</v>
      </c>
      <c r="G332" s="11">
        <v>9914.035441550001</v>
      </c>
      <c r="H332" s="11">
        <v>9914.299999999999</v>
      </c>
      <c r="I332" s="11">
        <f>H332-G332</f>
        <v>0.2645584499987308</v>
      </c>
    </row>
    <row r="333" spans="1:9">
      <c r="A333" s="3" t="s">
        <v>168</v>
      </c>
      <c r="B333" s="3" t="s">
        <v>549</v>
      </c>
      <c r="C333" s="3">
        <v>23</v>
      </c>
      <c r="D333" s="3">
        <v>23</v>
      </c>
      <c r="E333" s="8">
        <v>-14.318182</v>
      </c>
      <c r="F333" s="8">
        <v>-14.317</v>
      </c>
      <c r="G333" s="11">
        <v>8673.919165349998</v>
      </c>
      <c r="H333" s="11">
        <v>8674.08</v>
      </c>
      <c r="I333" s="11">
        <f>H333-G333</f>
        <v>0.16083465000156139</v>
      </c>
    </row>
    <row r="334" spans="1:9">
      <c r="A334" s="3" t="s">
        <v>168</v>
      </c>
      <c r="B334" s="3" t="s">
        <v>550</v>
      </c>
      <c r="C334" s="3">
        <v>28</v>
      </c>
      <c r="D334" s="3">
        <v>28</v>
      </c>
      <c r="E334" s="8">
        <v>-17.181818</v>
      </c>
      <c r="F334" s="8">
        <v>-17.182</v>
      </c>
      <c r="G334" s="11">
        <v>15030.61295983</v>
      </c>
      <c r="H334" s="11">
        <v>15030.52</v>
      </c>
      <c r="I334" s="11">
        <f>H334-G334</f>
        <v>-0.09295982999901753</v>
      </c>
    </row>
    <row r="335" spans="1:9">
      <c r="A335" s="3" t="s">
        <v>168</v>
      </c>
      <c r="B335" s="3" t="s">
        <v>551</v>
      </c>
      <c r="C335" s="3">
        <v>28</v>
      </c>
      <c r="D335" s="3">
        <v>28</v>
      </c>
      <c r="E335" s="8">
        <v>-17.181818</v>
      </c>
      <c r="F335" s="8">
        <v>-17.182</v>
      </c>
      <c r="G335" s="11">
        <v>5891.45609361</v>
      </c>
      <c r="H335" s="11">
        <v>5891.38</v>
      </c>
      <c r="I335" s="11">
        <f>H335-G335</f>
        <v>-0.07609360999958881</v>
      </c>
    </row>
    <row r="336" spans="1:9">
      <c r="A336" s="3" t="s">
        <v>168</v>
      </c>
      <c r="B336" s="3" t="s">
        <v>552</v>
      </c>
      <c r="C336" s="3">
        <v>19</v>
      </c>
      <c r="D336" s="3">
        <v>19</v>
      </c>
      <c r="E336" s="8">
        <v>-12.005317</v>
      </c>
      <c r="F336" s="8">
        <v>-12.006</v>
      </c>
      <c r="G336" s="11">
        <v>12224.13001666</v>
      </c>
      <c r="H336" s="11">
        <v>12223.99</v>
      </c>
      <c r="I336" s="11">
        <f>H336-G336</f>
        <v>-0.14001665999967372</v>
      </c>
    </row>
    <row r="337" spans="1:9">
      <c r="A337" s="3" t="s">
        <v>168</v>
      </c>
      <c r="B337" s="3" t="s">
        <v>553</v>
      </c>
      <c r="C337" s="3">
        <v>23</v>
      </c>
      <c r="D337" s="3">
        <v>23</v>
      </c>
      <c r="E337" s="8">
        <v>-14.525317</v>
      </c>
      <c r="F337" s="8">
        <v>-14.526</v>
      </c>
      <c r="G337" s="11">
        <v>11617.22898207</v>
      </c>
      <c r="H337" s="11">
        <v>11617.07</v>
      </c>
      <c r="I337" s="11">
        <f>H337-G337</f>
        <v>-0.15898207000100228</v>
      </c>
    </row>
    <row r="338" spans="1:9">
      <c r="A338" s="3" t="s">
        <v>168</v>
      </c>
      <c r="B338" s="3" t="s">
        <v>554</v>
      </c>
      <c r="C338" s="3">
        <v>28</v>
      </c>
      <c r="D338" s="3">
        <v>28</v>
      </c>
      <c r="E338" s="8">
        <v>-17.181818</v>
      </c>
      <c r="F338" s="8">
        <v>-17.182</v>
      </c>
      <c r="G338" s="11">
        <v>13986.85226368</v>
      </c>
      <c r="H338" s="11">
        <v>13986.74</v>
      </c>
      <c r="I338" s="11">
        <f>H338-G338</f>
        <v>-0.11226368000097864</v>
      </c>
    </row>
    <row r="339" spans="1:9">
      <c r="A339" s="3" t="s">
        <v>168</v>
      </c>
      <c r="B339" s="3" t="s">
        <v>555</v>
      </c>
      <c r="C339" s="3">
        <v>28</v>
      </c>
      <c r="D339" s="3">
        <v>28</v>
      </c>
      <c r="E339" s="8">
        <v>-17.181818</v>
      </c>
      <c r="F339" s="8">
        <v>-17.182</v>
      </c>
      <c r="G339" s="11">
        <v>14664.35982839</v>
      </c>
      <c r="H339" s="11">
        <v>14664.26</v>
      </c>
      <c r="I339" s="11">
        <f>H339-G339</f>
        <v>-0.09982838999894739</v>
      </c>
    </row>
    <row r="340" spans="1:9">
      <c r="A340" s="3" t="s">
        <v>168</v>
      </c>
      <c r="B340" s="3" t="s">
        <v>556</v>
      </c>
      <c r="C340" s="3">
        <v>28</v>
      </c>
      <c r="D340" s="3">
        <v>28</v>
      </c>
      <c r="E340" s="8">
        <v>-17.181818</v>
      </c>
      <c r="F340" s="8">
        <v>-17.182</v>
      </c>
      <c r="G340" s="11">
        <v>10967.63634388</v>
      </c>
      <c r="H340" s="11">
        <v>10967.55</v>
      </c>
      <c r="I340" s="11">
        <f>H340-G340</f>
        <v>-0.08634387999882165</v>
      </c>
    </row>
    <row r="341" spans="1:9">
      <c r="A341" s="3" t="s">
        <v>168</v>
      </c>
      <c r="B341" s="3" t="s">
        <v>557</v>
      </c>
      <c r="C341" s="3">
        <v>27</v>
      </c>
      <c r="D341" s="3">
        <v>27</v>
      </c>
      <c r="E341" s="8">
        <v>-17.181819</v>
      </c>
      <c r="F341" s="8">
        <v>-17.18</v>
      </c>
      <c r="G341" s="11">
        <v>14273.80950744</v>
      </c>
      <c r="H341" s="11">
        <v>14274.05</v>
      </c>
      <c r="I341" s="11">
        <f>H341-G341</f>
        <v>0.24049255999852903</v>
      </c>
    </row>
    <row r="342" spans="1:9">
      <c r="A342" s="3" t="s">
        <v>168</v>
      </c>
      <c r="B342" s="3" t="s">
        <v>558</v>
      </c>
      <c r="C342" s="3">
        <v>28</v>
      </c>
      <c r="D342" s="3">
        <v>28</v>
      </c>
      <c r="E342" s="8">
        <v>-17.181818</v>
      </c>
      <c r="F342" s="8">
        <v>-17.182</v>
      </c>
      <c r="G342" s="11">
        <v>13410.53453385</v>
      </c>
      <c r="H342" s="11">
        <v>13410.43</v>
      </c>
      <c r="I342" s="11">
        <f>H342-G342</f>
        <v>-0.10453384999891568</v>
      </c>
    </row>
    <row r="343" spans="1:9">
      <c r="A343" s="3" t="s">
        <v>168</v>
      </c>
      <c r="B343" s="3" t="s">
        <v>559</v>
      </c>
      <c r="C343" s="3">
        <v>24</v>
      </c>
      <c r="D343" s="3">
        <v>24</v>
      </c>
      <c r="E343" s="8">
        <v>-15.051749</v>
      </c>
      <c r="F343" s="8">
        <v>-15.051</v>
      </c>
      <c r="G343" s="11">
        <v>8497.091104000001</v>
      </c>
      <c r="H343" s="11">
        <v>8497.15</v>
      </c>
      <c r="I343" s="11">
        <f>H343-G343</f>
        <v>0.058895999998640036</v>
      </c>
    </row>
    <row r="344" spans="1:9">
      <c r="A344" s="3" t="s">
        <v>168</v>
      </c>
      <c r="B344" s="3" t="s">
        <v>560</v>
      </c>
      <c r="C344" s="3">
        <v>17</v>
      </c>
      <c r="D344" s="3">
        <v>17</v>
      </c>
      <c r="E344" s="8">
        <v>-10.745317</v>
      </c>
      <c r="F344" s="8">
        <v>-10.746</v>
      </c>
      <c r="G344" s="11">
        <v>14313.65060365</v>
      </c>
      <c r="H344" s="11">
        <v>14313.48</v>
      </c>
      <c r="I344" s="11">
        <f>H344-G344</f>
        <v>-0.17060364999997546</v>
      </c>
    </row>
    <row r="345" spans="1:9">
      <c r="A345" s="3" t="s">
        <v>168</v>
      </c>
      <c r="B345" s="3" t="s">
        <v>561</v>
      </c>
      <c r="C345" s="3">
        <v>28</v>
      </c>
      <c r="D345" s="3">
        <v>28</v>
      </c>
      <c r="E345" s="8">
        <v>-17.181818</v>
      </c>
      <c r="F345" s="8">
        <v>-17.182</v>
      </c>
      <c r="G345" s="11">
        <v>16651.33593931</v>
      </c>
      <c r="H345" s="11">
        <v>16651.21</v>
      </c>
      <c r="I345" s="11">
        <f>H345-G345</f>
        <v>-0.12593931000083103</v>
      </c>
    </row>
    <row r="346" spans="1:9">
      <c r="A346" s="3" t="s">
        <v>168</v>
      </c>
      <c r="B346" s="3" t="s">
        <v>562</v>
      </c>
      <c r="C346" s="3">
        <v>28</v>
      </c>
      <c r="D346" s="3">
        <v>28</v>
      </c>
      <c r="E346" s="8">
        <v>-17.181818</v>
      </c>
      <c r="F346" s="8">
        <v>-17.182</v>
      </c>
      <c r="G346" s="11">
        <v>20919.93209457</v>
      </c>
      <c r="H346" s="11">
        <v>20919.84</v>
      </c>
      <c r="I346" s="11">
        <f>H346-G346</f>
        <v>-0.09209456999815302</v>
      </c>
    </row>
    <row r="347" spans="1:9">
      <c r="A347" s="3" t="s">
        <v>168</v>
      </c>
      <c r="B347" s="3" t="s">
        <v>563</v>
      </c>
      <c r="C347" s="3">
        <v>28</v>
      </c>
      <c r="D347" s="3">
        <v>28</v>
      </c>
      <c r="E347" s="8">
        <v>-17.181818</v>
      </c>
      <c r="F347" s="8">
        <v>-17.182</v>
      </c>
      <c r="G347" s="11">
        <v>12050.55516978</v>
      </c>
      <c r="H347" s="11">
        <v>12050.46</v>
      </c>
      <c r="I347" s="11">
        <f>H347-G347</f>
        <v>-0.09516978000101517</v>
      </c>
    </row>
    <row r="348" spans="1:9">
      <c r="A348" s="3" t="s">
        <v>168</v>
      </c>
      <c r="B348" s="3" t="s">
        <v>564</v>
      </c>
      <c r="C348" s="3">
        <v>28</v>
      </c>
      <c r="D348" s="3">
        <v>28</v>
      </c>
      <c r="E348" s="8">
        <v>-17.181818</v>
      </c>
      <c r="F348" s="8">
        <v>-17.182</v>
      </c>
      <c r="G348" s="11">
        <v>24458.91554247</v>
      </c>
      <c r="H348" s="11">
        <v>24458.8</v>
      </c>
      <c r="I348" s="11">
        <f>H348-G348</f>
        <v>-0.1155424700009462</v>
      </c>
    </row>
    <row r="349" spans="1:9">
      <c r="A349" s="3" t="s">
        <v>168</v>
      </c>
      <c r="B349" s="3" t="s">
        <v>565</v>
      </c>
      <c r="C349" s="3">
        <v>28</v>
      </c>
      <c r="D349" s="3">
        <v>28</v>
      </c>
      <c r="E349" s="8">
        <v>-17.181818</v>
      </c>
      <c r="F349" s="8">
        <v>-17.182</v>
      </c>
      <c r="G349" s="11">
        <v>10183.55721271</v>
      </c>
      <c r="H349" s="11">
        <v>10183.46</v>
      </c>
      <c r="I349" s="11">
        <f>H349-G349</f>
        <v>-0.09721271000125853</v>
      </c>
    </row>
    <row r="350" spans="1:9">
      <c r="A350" s="3" t="s">
        <v>168</v>
      </c>
      <c r="B350" s="3" t="s">
        <v>566</v>
      </c>
      <c r="C350" s="3">
        <v>21</v>
      </c>
      <c r="D350" s="3">
        <v>21</v>
      </c>
      <c r="E350" s="8">
        <v>-13.265317</v>
      </c>
      <c r="F350" s="8">
        <v>-13.266</v>
      </c>
      <c r="G350" s="11">
        <v>16008.9891227</v>
      </c>
      <c r="H350" s="11">
        <v>16008.76</v>
      </c>
      <c r="I350" s="11">
        <f>H350-G350</f>
        <v>-0.2291226999986975</v>
      </c>
    </row>
    <row r="351" spans="1:9">
      <c r="A351" s="3" t="s">
        <v>168</v>
      </c>
      <c r="B351" s="3" t="s">
        <v>567</v>
      </c>
      <c r="C351" s="3">
        <v>17</v>
      </c>
      <c r="D351" s="3">
        <v>17</v>
      </c>
      <c r="E351" s="8">
        <v>-10.745317</v>
      </c>
      <c r="F351" s="8">
        <v>-10.746</v>
      </c>
      <c r="G351" s="11">
        <v>7645.4053414</v>
      </c>
      <c r="H351" s="11">
        <v>7645.219999999999</v>
      </c>
      <c r="I351" s="11">
        <f>H351-G351</f>
        <v>-0.18534140000065236</v>
      </c>
    </row>
    <row r="352" spans="1:9">
      <c r="A352" s="3" t="s">
        <v>168</v>
      </c>
      <c r="B352" s="3" t="s">
        <v>568</v>
      </c>
      <c r="C352" s="3">
        <v>28</v>
      </c>
      <c r="D352" s="3">
        <v>28</v>
      </c>
      <c r="E352" s="8">
        <v>-17.181818</v>
      </c>
      <c r="F352" s="8">
        <v>-17.182</v>
      </c>
      <c r="G352" s="11">
        <v>30846.5077429</v>
      </c>
      <c r="H352" s="11">
        <v>30846.32</v>
      </c>
      <c r="I352" s="11">
        <f>H352-G352</f>
        <v>-0.1877429000014672</v>
      </c>
    </row>
    <row r="353" spans="1:9">
      <c r="A353" s="3" t="s">
        <v>168</v>
      </c>
      <c r="B353" s="3" t="s">
        <v>569</v>
      </c>
      <c r="C353" s="3">
        <v>28</v>
      </c>
      <c r="D353" s="3">
        <v>28</v>
      </c>
      <c r="E353" s="8">
        <v>-17.181818</v>
      </c>
      <c r="F353" s="8">
        <v>-17.182</v>
      </c>
      <c r="G353" s="11">
        <v>20980.62322105</v>
      </c>
      <c r="H353" s="11">
        <v>20980.44</v>
      </c>
      <c r="I353" s="11">
        <f>H353-G353</f>
        <v>-0.1832210499997018</v>
      </c>
    </row>
    <row r="354" spans="1:9">
      <c r="A354" s="3" t="s">
        <v>168</v>
      </c>
      <c r="B354" s="3" t="s">
        <v>570</v>
      </c>
      <c r="C354" s="3">
        <v>28</v>
      </c>
      <c r="D354" s="3">
        <v>28</v>
      </c>
      <c r="E354" s="8">
        <v>-17.181818</v>
      </c>
      <c r="F354" s="8">
        <v>-17.182</v>
      </c>
      <c r="G354" s="11">
        <v>12681.18440504</v>
      </c>
      <c r="H354" s="11">
        <v>12681.05</v>
      </c>
      <c r="I354" s="11">
        <f>H354-G354</f>
        <v>-0.13440503999845532</v>
      </c>
    </row>
    <row r="355" spans="1:9">
      <c r="A355" s="3" t="s">
        <v>168</v>
      </c>
      <c r="B355" s="3" t="s">
        <v>571</v>
      </c>
      <c r="C355" s="3">
        <v>28</v>
      </c>
      <c r="D355" s="3">
        <v>28</v>
      </c>
      <c r="E355" s="8">
        <v>-17.181818</v>
      </c>
      <c r="F355" s="8">
        <v>-17.182</v>
      </c>
      <c r="G355" s="11">
        <v>17647.0909629</v>
      </c>
      <c r="H355" s="11">
        <v>17646.96</v>
      </c>
      <c r="I355" s="11">
        <f>H355-G355</f>
        <v>-0.130962900002487</v>
      </c>
    </row>
    <row r="356" spans="1:9">
      <c r="A356" s="3" t="s">
        <v>168</v>
      </c>
      <c r="B356" s="3" t="s">
        <v>572</v>
      </c>
      <c r="C356" s="3">
        <v>28</v>
      </c>
      <c r="D356" s="3">
        <v>28</v>
      </c>
      <c r="E356" s="8">
        <v>-17.181818</v>
      </c>
      <c r="F356" s="8">
        <v>-17.182</v>
      </c>
      <c r="G356" s="11">
        <v>18698.2030654</v>
      </c>
      <c r="H356" s="11">
        <v>18698.05</v>
      </c>
      <c r="I356" s="11">
        <f>H356-G356</f>
        <v>-0.15306539999801316</v>
      </c>
    </row>
    <row r="357" spans="1:9">
      <c r="A357" s="3" t="s">
        <v>168</v>
      </c>
      <c r="B357" s="3" t="s">
        <v>573</v>
      </c>
      <c r="C357" s="3">
        <v>22</v>
      </c>
      <c r="D357" s="3">
        <v>22</v>
      </c>
      <c r="E357" s="8">
        <v>-13.963568</v>
      </c>
      <c r="F357" s="8">
        <v>-13.963</v>
      </c>
      <c r="G357" s="11">
        <v>8146.5996393</v>
      </c>
      <c r="H357" s="11">
        <v>8146.59</v>
      </c>
      <c r="I357" s="11">
        <f>H357-G357</f>
        <v>-0.009639299999435025</v>
      </c>
    </row>
    <row r="358" spans="1:9">
      <c r="A358" s="3" t="s">
        <v>168</v>
      </c>
      <c r="B358" s="3" t="s">
        <v>574</v>
      </c>
      <c r="C358" s="3">
        <v>22</v>
      </c>
      <c r="D358" s="3">
        <v>22</v>
      </c>
      <c r="E358" s="8">
        <v>-13.619931</v>
      </c>
      <c r="F358" s="8">
        <v>-13.62</v>
      </c>
      <c r="G358" s="11">
        <v>4516.37028902</v>
      </c>
      <c r="H358" s="11">
        <v>4516.31</v>
      </c>
      <c r="I358" s="11">
        <f>H358-G358</f>
        <v>-0.060289019999800075</v>
      </c>
    </row>
    <row r="359" spans="1:9">
      <c r="A359" s="3" t="s">
        <v>168</v>
      </c>
      <c r="B359" s="3" t="s">
        <v>575</v>
      </c>
      <c r="C359" s="3">
        <v>27</v>
      </c>
      <c r="D359" s="3">
        <v>27</v>
      </c>
      <c r="E359" s="8">
        <v>-17.181817</v>
      </c>
      <c r="F359" s="8">
        <v>-17.18</v>
      </c>
      <c r="G359" s="11">
        <v>20110.85308403</v>
      </c>
      <c r="H359" s="11">
        <v>20111.05</v>
      </c>
      <c r="I359" s="11">
        <f>H359-G359</f>
        <v>0.19691596999837202</v>
      </c>
    </row>
    <row r="360" spans="1:9">
      <c r="A360" s="3" t="s">
        <v>168</v>
      </c>
      <c r="B360" s="3" t="s">
        <v>576</v>
      </c>
      <c r="C360" s="3">
        <v>28</v>
      </c>
      <c r="D360" s="3">
        <v>28</v>
      </c>
      <c r="E360" s="8">
        <v>-17.181818</v>
      </c>
      <c r="F360" s="8">
        <v>-17.182</v>
      </c>
      <c r="G360" s="11">
        <v>29574.41290359</v>
      </c>
      <c r="H360" s="11">
        <v>29574.16</v>
      </c>
      <c r="I360" s="11">
        <f>H360-G360</f>
        <v>-0.252903590000642</v>
      </c>
    </row>
    <row r="361" spans="1:9">
      <c r="A361" s="3" t="s">
        <v>168</v>
      </c>
      <c r="B361" s="3" t="s">
        <v>577</v>
      </c>
      <c r="C361" s="3">
        <v>28</v>
      </c>
      <c r="D361" s="3">
        <v>28</v>
      </c>
      <c r="E361" s="8">
        <v>-17.181818</v>
      </c>
      <c r="F361" s="8">
        <v>-17.182</v>
      </c>
      <c r="G361" s="11">
        <v>21603.1178262</v>
      </c>
      <c r="H361" s="11">
        <v>21603</v>
      </c>
      <c r="I361" s="11">
        <f>H361-G361</f>
        <v>-0.11782619999939925</v>
      </c>
    </row>
    <row r="362" spans="1:9">
      <c r="A362" s="3" t="s">
        <v>168</v>
      </c>
      <c r="B362" s="3" t="s">
        <v>578</v>
      </c>
      <c r="C362" s="3">
        <v>27</v>
      </c>
      <c r="D362" s="3">
        <v>27</v>
      </c>
      <c r="E362" s="8">
        <v>-17.181818</v>
      </c>
      <c r="F362" s="8">
        <v>-17.18</v>
      </c>
      <c r="G362" s="11">
        <v>17977.90323375</v>
      </c>
      <c r="H362" s="11">
        <v>17978.15</v>
      </c>
      <c r="I362" s="11">
        <f>H362-G362</f>
        <v>0.2467662500021106</v>
      </c>
    </row>
    <row r="363" spans="1:9">
      <c r="A363" s="3" t="s">
        <v>168</v>
      </c>
      <c r="B363" s="3" t="s">
        <v>579</v>
      </c>
      <c r="C363" s="3">
        <v>28</v>
      </c>
      <c r="D363" s="3">
        <v>28</v>
      </c>
      <c r="E363" s="8">
        <v>-17.181818</v>
      </c>
      <c r="F363" s="8">
        <v>-17.182</v>
      </c>
      <c r="G363" s="11">
        <v>20645.79307466</v>
      </c>
      <c r="H363" s="11">
        <v>20645.64</v>
      </c>
      <c r="I363" s="11">
        <f>H363-G363</f>
        <v>-0.15307466000012937</v>
      </c>
    </row>
    <row r="364" spans="1:9">
      <c r="A364" s="3" t="s">
        <v>168</v>
      </c>
      <c r="B364" s="3" t="s">
        <v>580</v>
      </c>
      <c r="C364" s="3">
        <v>21</v>
      </c>
      <c r="D364" s="3">
        <v>21</v>
      </c>
      <c r="E364" s="8">
        <v>-13.265317</v>
      </c>
      <c r="F364" s="8">
        <v>-13.266</v>
      </c>
      <c r="G364" s="11">
        <v>16708.41054976</v>
      </c>
      <c r="H364" s="11">
        <v>16708.22</v>
      </c>
      <c r="I364" s="11">
        <f>H364-G364</f>
        <v>-0.1905497599982482</v>
      </c>
    </row>
    <row r="365" spans="1:9">
      <c r="A365" s="3" t="s">
        <v>168</v>
      </c>
      <c r="B365" s="3" t="s">
        <v>581</v>
      </c>
      <c r="C365" s="3">
        <v>18</v>
      </c>
      <c r="D365" s="3">
        <v>18</v>
      </c>
      <c r="E365" s="8">
        <v>-11.099931</v>
      </c>
      <c r="F365" s="8">
        <v>-11.1</v>
      </c>
      <c r="G365" s="11">
        <v>15120.4849487</v>
      </c>
      <c r="H365" s="11">
        <v>15120.43</v>
      </c>
      <c r="I365" s="11">
        <f>H365-G365</f>
        <v>-0.05494869999893126</v>
      </c>
    </row>
    <row r="366" spans="1:9">
      <c r="A366" s="3" t="s">
        <v>168</v>
      </c>
      <c r="B366" s="3" t="s">
        <v>582</v>
      </c>
      <c r="C366" s="3">
        <v>28</v>
      </c>
      <c r="D366" s="3">
        <v>28</v>
      </c>
      <c r="E366" s="8">
        <v>-17.181818</v>
      </c>
      <c r="F366" s="8">
        <v>-17.182</v>
      </c>
      <c r="G366" s="11">
        <v>16990.18167226</v>
      </c>
      <c r="H366" s="11">
        <v>16990.04</v>
      </c>
      <c r="I366" s="11">
        <f>H366-G366</f>
        <v>-0.1416722599969944</v>
      </c>
    </row>
    <row r="367" spans="1:9">
      <c r="A367" s="3" t="s">
        <v>168</v>
      </c>
      <c r="B367" s="3" t="s">
        <v>583</v>
      </c>
      <c r="C367" s="3">
        <v>28</v>
      </c>
      <c r="D367" s="3">
        <v>28</v>
      </c>
      <c r="E367" s="8">
        <v>-17.181818</v>
      </c>
      <c r="F367" s="8">
        <v>-17.182</v>
      </c>
      <c r="G367" s="11">
        <v>14608.25708735</v>
      </c>
      <c r="H367" s="11">
        <v>14608.13</v>
      </c>
      <c r="I367" s="11">
        <f>H367-G367</f>
        <v>-0.12708735000160232</v>
      </c>
    </row>
    <row r="368" spans="1:9">
      <c r="A368" s="3" t="s">
        <v>168</v>
      </c>
      <c r="B368" s="3" t="s">
        <v>156</v>
      </c>
      <c r="C368" s="3">
        <v>28</v>
      </c>
      <c r="D368" s="3">
        <v>28</v>
      </c>
      <c r="E368" s="8">
        <v>-17.181818</v>
      </c>
      <c r="F368" s="8">
        <v>-17.182</v>
      </c>
      <c r="G368" s="11">
        <v>18168.17181311</v>
      </c>
      <c r="H368" s="11">
        <v>18168.08</v>
      </c>
      <c r="I368" s="11">
        <f>H368-G368</f>
        <v>-0.09181310999701964</v>
      </c>
    </row>
    <row r="369" spans="1:9">
      <c r="A369" s="3" t="s">
        <v>169</v>
      </c>
      <c r="B369" s="3" t="s">
        <v>153</v>
      </c>
      <c r="C369" s="3">
        <v>28</v>
      </c>
      <c r="D369" s="3">
        <v>28</v>
      </c>
      <c r="E369" s="8">
        <v>-9.818182</v>
      </c>
      <c r="F369" s="8">
        <v>-9.818</v>
      </c>
      <c r="G369" s="11">
        <v>12210.51923218</v>
      </c>
      <c r="H369" s="11">
        <v>12210.52</v>
      </c>
      <c r="I369" s="11">
        <f>H369-G369</f>
        <v>0.0007678199999645585</v>
      </c>
    </row>
    <row r="370" spans="1:9">
      <c r="A370" s="3" t="s">
        <v>169</v>
      </c>
      <c r="B370" s="3" t="s">
        <v>221</v>
      </c>
      <c r="C370" s="3">
        <v>28</v>
      </c>
      <c r="D370" s="3">
        <v>28</v>
      </c>
      <c r="E370" s="8">
        <v>-9.818182</v>
      </c>
      <c r="F370" s="8">
        <v>-9.818</v>
      </c>
      <c r="G370" s="11">
        <v>7287.413831129999</v>
      </c>
      <c r="H370" s="11">
        <v>7287.429999999999</v>
      </c>
      <c r="I370" s="11">
        <f>H370-G370</f>
        <v>0.016168870000001334</v>
      </c>
    </row>
    <row r="371" spans="1:9">
      <c r="A371" s="3" t="s">
        <v>169</v>
      </c>
      <c r="B371" s="3" t="s">
        <v>222</v>
      </c>
      <c r="C371" s="3">
        <v>28</v>
      </c>
      <c r="D371" s="3">
        <v>28</v>
      </c>
      <c r="E371" s="8">
        <v>-9.818182</v>
      </c>
      <c r="F371" s="8">
        <v>-9.818</v>
      </c>
      <c r="G371" s="11">
        <v>6484.68103176</v>
      </c>
      <c r="H371" s="11">
        <v>6484.68</v>
      </c>
      <c r="I371" s="11">
        <f>H371-G371</f>
        <v>-0.0010317599999325466</v>
      </c>
    </row>
    <row r="372" spans="1:9">
      <c r="A372" s="3" t="s">
        <v>169</v>
      </c>
      <c r="B372" s="3" t="s">
        <v>223</v>
      </c>
      <c r="C372" s="3">
        <v>28</v>
      </c>
      <c r="D372" s="3">
        <v>28</v>
      </c>
      <c r="E372" s="8">
        <v>-9.818182</v>
      </c>
      <c r="F372" s="8">
        <v>-9.818</v>
      </c>
      <c r="G372" s="11">
        <v>136.98583472</v>
      </c>
      <c r="H372" s="11">
        <v>136.99</v>
      </c>
      <c r="I372" s="11">
        <f>H372-G372</f>
        <v>0.004165279999995164</v>
      </c>
    </row>
    <row r="373" spans="1:9">
      <c r="A373" s="3" t="s">
        <v>169</v>
      </c>
      <c r="B373" s="3" t="s">
        <v>224</v>
      </c>
      <c r="C373" s="3">
        <v>28</v>
      </c>
      <c r="D373" s="3">
        <v>28</v>
      </c>
      <c r="E373" s="8">
        <v>-9.818182</v>
      </c>
      <c r="F373" s="8">
        <v>-9.817999999999998</v>
      </c>
      <c r="G373" s="11">
        <v>840.5227151300001</v>
      </c>
      <c r="H373" s="11">
        <v>840.53</v>
      </c>
      <c r="I373" s="11">
        <f>H373-G373</f>
        <v>0.007284869999921284</v>
      </c>
    </row>
    <row r="374" spans="1:9">
      <c r="A374" s="3" t="s">
        <v>169</v>
      </c>
      <c r="B374" s="3" t="s">
        <v>225</v>
      </c>
      <c r="C374" s="3">
        <v>29</v>
      </c>
      <c r="D374" s="3">
        <v>29</v>
      </c>
      <c r="E374" s="8">
        <v>-9.818182</v>
      </c>
      <c r="F374" s="8">
        <v>-9.818</v>
      </c>
      <c r="G374" s="11">
        <v>4373.6203322</v>
      </c>
      <c r="H374" s="11">
        <v>4373.63</v>
      </c>
      <c r="I374" s="11">
        <f>H374-G374</f>
        <v>0.009667799999988347</v>
      </c>
    </row>
    <row r="375" spans="1:9">
      <c r="A375" s="3" t="s">
        <v>169</v>
      </c>
      <c r="B375" s="3" t="s">
        <v>226</v>
      </c>
      <c r="C375" s="3">
        <v>27</v>
      </c>
      <c r="D375" s="3">
        <v>27</v>
      </c>
      <c r="E375" s="8">
        <v>-9.818182</v>
      </c>
      <c r="F375" s="8">
        <v>-9.818</v>
      </c>
      <c r="G375" s="11">
        <v>10062.64034975</v>
      </c>
      <c r="H375" s="11">
        <v>10062.66</v>
      </c>
      <c r="I375" s="11">
        <f>H375-G375</f>
        <v>0.019650250000267988</v>
      </c>
    </row>
    <row r="376" spans="1:9">
      <c r="A376" s="3" t="s">
        <v>169</v>
      </c>
      <c r="B376" s="3" t="s">
        <v>227</v>
      </c>
      <c r="C376" s="3">
        <v>27</v>
      </c>
      <c r="D376" s="3">
        <v>27</v>
      </c>
      <c r="E376" s="8">
        <v>-9.818182</v>
      </c>
      <c r="F376" s="8">
        <v>-9.818</v>
      </c>
      <c r="G376" s="11">
        <v>5969.43749772</v>
      </c>
      <c r="H376" s="11">
        <v>5969.459999999999</v>
      </c>
      <c r="I376" s="11">
        <f>H376-G376</f>
        <v>0.022502279998661834</v>
      </c>
    </row>
    <row r="377" spans="1:9">
      <c r="A377" s="3" t="s">
        <v>169</v>
      </c>
      <c r="B377" s="3" t="s">
        <v>228</v>
      </c>
      <c r="C377" s="3">
        <v>27</v>
      </c>
      <c r="D377" s="3">
        <v>27</v>
      </c>
      <c r="E377" s="8">
        <v>-9.818182</v>
      </c>
      <c r="F377" s="8">
        <v>-9.818000000000001</v>
      </c>
      <c r="G377" s="11">
        <v>3272.22159881</v>
      </c>
      <c r="H377" s="11">
        <v>3272.23</v>
      </c>
      <c r="I377" s="11">
        <f>H377-G377</f>
        <v>0.00840119000076811</v>
      </c>
    </row>
    <row r="378" spans="1:9">
      <c r="A378" s="3" t="s">
        <v>169</v>
      </c>
      <c r="B378" s="3" t="s">
        <v>229</v>
      </c>
      <c r="C378" s="3">
        <v>28</v>
      </c>
      <c r="D378" s="3">
        <v>28</v>
      </c>
      <c r="E378" s="8">
        <v>-9.818182</v>
      </c>
      <c r="F378" s="8">
        <v>-9.818000000000001</v>
      </c>
      <c r="G378" s="11">
        <v>2777.1959889</v>
      </c>
      <c r="H378" s="11">
        <v>2777.21</v>
      </c>
      <c r="I378" s="11">
        <f>H378-G378</f>
        <v>0.01401110000006156</v>
      </c>
    </row>
    <row r="379" spans="1:9">
      <c r="A379" s="3" t="s">
        <v>169</v>
      </c>
      <c r="B379" s="3" t="s">
        <v>230</v>
      </c>
      <c r="C379" s="3">
        <v>27</v>
      </c>
      <c r="D379" s="3">
        <v>27</v>
      </c>
      <c r="E379" s="8">
        <v>-9.818182</v>
      </c>
      <c r="F379" s="8">
        <v>-9.818000000000001</v>
      </c>
      <c r="G379" s="11">
        <v>3473.54340851</v>
      </c>
      <c r="H379" s="11">
        <v>3473.55</v>
      </c>
      <c r="I379" s="11">
        <f>H379-G379</f>
        <v>0.006591489999664191</v>
      </c>
    </row>
    <row r="380" spans="1:9">
      <c r="A380" s="3" t="s">
        <v>169</v>
      </c>
      <c r="B380" s="3" t="s">
        <v>231</v>
      </c>
      <c r="C380" s="3">
        <v>27</v>
      </c>
      <c r="D380" s="3">
        <v>27</v>
      </c>
      <c r="E380" s="8">
        <v>-9.818182</v>
      </c>
      <c r="F380" s="8">
        <v>-9.818</v>
      </c>
      <c r="G380" s="11">
        <v>1687.18896422</v>
      </c>
      <c r="H380" s="11">
        <v>1687.2</v>
      </c>
      <c r="I380" s="11">
        <f>H380-G380</f>
        <v>0.011035780000156592</v>
      </c>
    </row>
    <row r="381" spans="1:9">
      <c r="A381" s="3" t="s">
        <v>169</v>
      </c>
      <c r="B381" s="3" t="s">
        <v>232</v>
      </c>
      <c r="C381" s="3">
        <v>29</v>
      </c>
      <c r="D381" s="3">
        <v>29</v>
      </c>
      <c r="E381" s="8">
        <v>-9.818182</v>
      </c>
      <c r="F381" s="8">
        <v>-9.818</v>
      </c>
      <c r="G381" s="11">
        <v>11933.29929721</v>
      </c>
      <c r="H381" s="11">
        <v>11933.33</v>
      </c>
      <c r="I381" s="11">
        <f>H381-G381</f>
        <v>0.03070278999985021</v>
      </c>
    </row>
    <row r="382" spans="1:9">
      <c r="A382" s="3" t="s">
        <v>169</v>
      </c>
      <c r="B382" s="3" t="s">
        <v>233</v>
      </c>
      <c r="C382" s="3">
        <v>27</v>
      </c>
      <c r="D382" s="3">
        <v>27</v>
      </c>
      <c r="E382" s="8">
        <v>-9.818182</v>
      </c>
      <c r="F382" s="8">
        <v>-9.818</v>
      </c>
      <c r="G382" s="11">
        <v>14768.62555874</v>
      </c>
      <c r="H382" s="11">
        <v>14768.64</v>
      </c>
      <c r="I382" s="11">
        <f>H382-G382</f>
        <v>0.014441260000239708</v>
      </c>
    </row>
    <row r="383" spans="1:9">
      <c r="A383" s="3" t="s">
        <v>169</v>
      </c>
      <c r="B383" s="3" t="s">
        <v>234</v>
      </c>
      <c r="C383" s="3">
        <v>29</v>
      </c>
      <c r="D383" s="3">
        <v>29</v>
      </c>
      <c r="E383" s="8">
        <v>-9.818182</v>
      </c>
      <c r="F383" s="8">
        <v>-9.817999999999998</v>
      </c>
      <c r="G383" s="11">
        <v>10505.64668773</v>
      </c>
      <c r="H383" s="11">
        <v>10505.66</v>
      </c>
      <c r="I383" s="11">
        <f>H383-G383</f>
        <v>0.013312270000824356</v>
      </c>
    </row>
    <row r="384" spans="1:9">
      <c r="A384" s="3" t="s">
        <v>169</v>
      </c>
      <c r="B384" s="3" t="s">
        <v>235</v>
      </c>
      <c r="C384" s="3">
        <v>27</v>
      </c>
      <c r="D384" s="3">
        <v>27</v>
      </c>
      <c r="E384" s="8">
        <v>-9.818182</v>
      </c>
      <c r="F384" s="8">
        <v>-9.818</v>
      </c>
      <c r="G384" s="11">
        <v>3036.81113789</v>
      </c>
      <c r="H384" s="11">
        <v>3036.83</v>
      </c>
      <c r="I384" s="11">
        <f>H384-G384</f>
        <v>0.018862110000100074</v>
      </c>
    </row>
    <row r="385" spans="1:9">
      <c r="A385" s="3" t="s">
        <v>169</v>
      </c>
      <c r="B385" s="3" t="s">
        <v>236</v>
      </c>
      <c r="C385" s="3">
        <v>28</v>
      </c>
      <c r="D385" s="3">
        <v>28</v>
      </c>
      <c r="E385" s="8">
        <v>-9.818182</v>
      </c>
      <c r="F385" s="8">
        <v>-9.818000000000001</v>
      </c>
      <c r="G385" s="11">
        <v>3005.81238852</v>
      </c>
      <c r="H385" s="11">
        <v>3005.83</v>
      </c>
      <c r="I385" s="11">
        <f>H385-G385</f>
        <v>0.017611479999686708</v>
      </c>
    </row>
    <row r="386" spans="1:9">
      <c r="A386" s="3" t="s">
        <v>169</v>
      </c>
      <c r="B386" s="3" t="s">
        <v>237</v>
      </c>
      <c r="C386" s="3">
        <v>28</v>
      </c>
      <c r="D386" s="3">
        <v>28</v>
      </c>
      <c r="E386" s="8">
        <v>-9.818182</v>
      </c>
      <c r="F386" s="8">
        <v>-9.818000000000001</v>
      </c>
      <c r="G386" s="11">
        <v>2983.49075596</v>
      </c>
      <c r="H386" s="11">
        <v>2983.5</v>
      </c>
      <c r="I386" s="11">
        <f>H386-G386</f>
        <v>0.009244040000339737</v>
      </c>
    </row>
    <row r="387" spans="1:9">
      <c r="A387" s="3" t="s">
        <v>169</v>
      </c>
      <c r="B387" s="3" t="s">
        <v>238</v>
      </c>
      <c r="C387" s="3">
        <v>28</v>
      </c>
      <c r="D387" s="3">
        <v>28</v>
      </c>
      <c r="E387" s="8">
        <v>-9.818182</v>
      </c>
      <c r="F387" s="8">
        <v>-9.818</v>
      </c>
      <c r="G387" s="11">
        <v>3948.08268896</v>
      </c>
      <c r="H387" s="11">
        <v>3948.09</v>
      </c>
      <c r="I387" s="11">
        <f>H387-G387</f>
        <v>0.007311040000331559</v>
      </c>
    </row>
    <row r="388" spans="1:9">
      <c r="A388" s="3" t="s">
        <v>169</v>
      </c>
      <c r="B388" s="3" t="s">
        <v>239</v>
      </c>
      <c r="C388" s="3">
        <v>27</v>
      </c>
      <c r="D388" s="3">
        <v>27</v>
      </c>
      <c r="E388" s="8">
        <v>-9.818182</v>
      </c>
      <c r="F388" s="8">
        <v>-9.818</v>
      </c>
      <c r="G388" s="11">
        <v>3819.34049345</v>
      </c>
      <c r="H388" s="11">
        <v>3819.35</v>
      </c>
      <c r="I388" s="11">
        <f>H388-G388</f>
        <v>0.009506549999969138</v>
      </c>
    </row>
    <row r="389" spans="1:9">
      <c r="A389" s="3" t="s">
        <v>169</v>
      </c>
      <c r="B389" s="3" t="s">
        <v>240</v>
      </c>
      <c r="C389" s="3">
        <v>27</v>
      </c>
      <c r="D389" s="3">
        <v>27</v>
      </c>
      <c r="E389" s="8">
        <v>-9.818182</v>
      </c>
      <c r="F389" s="8">
        <v>-9.818</v>
      </c>
      <c r="G389" s="11">
        <v>4341.88217318</v>
      </c>
      <c r="H389" s="11">
        <v>4341.9</v>
      </c>
      <c r="I389" s="11">
        <f>H389-G389</f>
        <v>0.01782681999975466</v>
      </c>
    </row>
    <row r="390" spans="1:9">
      <c r="A390" s="3" t="s">
        <v>169</v>
      </c>
      <c r="B390" s="3" t="s">
        <v>241</v>
      </c>
      <c r="C390" s="3">
        <v>27</v>
      </c>
      <c r="D390" s="3">
        <v>27</v>
      </c>
      <c r="E390" s="8">
        <v>-9.818182</v>
      </c>
      <c r="F390" s="8">
        <v>-9.818</v>
      </c>
      <c r="G390" s="11">
        <v>9078.539424029999</v>
      </c>
      <c r="H390" s="11">
        <v>9078.58</v>
      </c>
      <c r="I390" s="11">
        <f>H390-G390</f>
        <v>0.04057597000064561</v>
      </c>
    </row>
    <row r="391" spans="1:9">
      <c r="A391" s="3" t="s">
        <v>169</v>
      </c>
      <c r="B391" s="3" t="s">
        <v>242</v>
      </c>
      <c r="C391" s="3">
        <v>28</v>
      </c>
      <c r="D391" s="3">
        <v>28</v>
      </c>
      <c r="E391" s="8">
        <v>-9.818182</v>
      </c>
      <c r="F391" s="8">
        <v>-9.818</v>
      </c>
      <c r="G391" s="11">
        <v>2382.23920689</v>
      </c>
      <c r="H391" s="11">
        <v>2382.25</v>
      </c>
      <c r="I391" s="11">
        <f>H391-G391</f>
        <v>0.010793110000122397</v>
      </c>
    </row>
    <row r="392" spans="1:9">
      <c r="A392" s="3" t="s">
        <v>169</v>
      </c>
      <c r="B392" s="3" t="s">
        <v>243</v>
      </c>
      <c r="C392" s="3">
        <v>28</v>
      </c>
      <c r="D392" s="3">
        <v>28</v>
      </c>
      <c r="E392" s="8">
        <v>-9.818182</v>
      </c>
      <c r="F392" s="8">
        <v>-9.818</v>
      </c>
      <c r="G392" s="11">
        <v>5504.75543505</v>
      </c>
      <c r="H392" s="11">
        <v>5504.76</v>
      </c>
      <c r="I392" s="11">
        <f>H392-G392</f>
        <v>0.004564949999803503</v>
      </c>
    </row>
    <row r="393" spans="1:9">
      <c r="A393" s="3" t="s">
        <v>169</v>
      </c>
      <c r="B393" s="3" t="s">
        <v>244</v>
      </c>
      <c r="C393" s="3">
        <v>27</v>
      </c>
      <c r="D393" s="3">
        <v>27</v>
      </c>
      <c r="E393" s="8">
        <v>-9.818182</v>
      </c>
      <c r="F393" s="8">
        <v>-9.818</v>
      </c>
      <c r="G393" s="11">
        <v>2210.27833257</v>
      </c>
      <c r="H393" s="11">
        <v>2210.28</v>
      </c>
      <c r="I393" s="11">
        <f>H393-G393</f>
        <v>0.0016674299999976938</v>
      </c>
    </row>
    <row r="394" spans="1:9">
      <c r="A394" s="3" t="s">
        <v>169</v>
      </c>
      <c r="B394" s="3" t="s">
        <v>245</v>
      </c>
      <c r="C394" s="3">
        <v>29</v>
      </c>
      <c r="D394" s="3">
        <v>29</v>
      </c>
      <c r="E394" s="8">
        <v>-9.818182</v>
      </c>
      <c r="F394" s="8">
        <v>-9.818</v>
      </c>
      <c r="G394" s="11">
        <v>1442.01861714</v>
      </c>
      <c r="H394" s="11">
        <v>1442.02</v>
      </c>
      <c r="I394" s="11">
        <f>H394-G394</f>
        <v>0.001382859999921493</v>
      </c>
    </row>
    <row r="395" spans="1:9">
      <c r="A395" s="3" t="s">
        <v>169</v>
      </c>
      <c r="B395" s="3" t="s">
        <v>246</v>
      </c>
      <c r="C395" s="3">
        <v>29</v>
      </c>
      <c r="D395" s="3">
        <v>29</v>
      </c>
      <c r="E395" s="8">
        <v>-9.818182</v>
      </c>
      <c r="F395" s="8">
        <v>-9.818</v>
      </c>
      <c r="G395" s="11">
        <v>2801.21623833</v>
      </c>
      <c r="H395" s="11">
        <v>2801.23</v>
      </c>
      <c r="I395" s="11">
        <f>H395-G395</f>
        <v>0.013761670000349113</v>
      </c>
    </row>
    <row r="396" spans="1:9">
      <c r="A396" s="3" t="s">
        <v>169</v>
      </c>
      <c r="B396" s="3" t="s">
        <v>247</v>
      </c>
      <c r="C396" s="3">
        <v>18</v>
      </c>
      <c r="D396" s="3">
        <v>18</v>
      </c>
      <c r="E396" s="8">
        <v>-6.140181</v>
      </c>
      <c r="F396" s="8">
        <v>-6.139999999999999</v>
      </c>
      <c r="G396" s="11">
        <v>2527.9559573</v>
      </c>
      <c r="H396" s="11">
        <v>2527.96</v>
      </c>
      <c r="I396" s="11">
        <f>H396-G396</f>
        <v>0.004042700000354671</v>
      </c>
    </row>
    <row r="397" spans="1:9">
      <c r="A397" s="3" t="s">
        <v>169</v>
      </c>
      <c r="B397" s="3" t="s">
        <v>248</v>
      </c>
      <c r="C397" s="3">
        <v>29</v>
      </c>
      <c r="D397" s="3">
        <v>29</v>
      </c>
      <c r="E397" s="8">
        <v>-9.818182</v>
      </c>
      <c r="F397" s="8">
        <v>-9.818</v>
      </c>
      <c r="G397" s="11">
        <v>2865.85509825</v>
      </c>
      <c r="H397" s="11">
        <v>2865.87</v>
      </c>
      <c r="I397" s="11">
        <f>H397-G397</f>
        <v>0.01490174999980809</v>
      </c>
    </row>
    <row r="398" spans="1:9">
      <c r="A398" s="3" t="s">
        <v>169</v>
      </c>
      <c r="B398" s="3" t="s">
        <v>249</v>
      </c>
      <c r="C398" s="3">
        <v>29</v>
      </c>
      <c r="D398" s="3">
        <v>29</v>
      </c>
      <c r="E398" s="8">
        <v>-9.818182</v>
      </c>
      <c r="F398" s="8">
        <v>-9.818</v>
      </c>
      <c r="G398" s="11">
        <v>4269.460577119999</v>
      </c>
      <c r="H398" s="11">
        <v>4269.46</v>
      </c>
      <c r="I398" s="11">
        <f>H398-G398</f>
        <v>-0.0005771199994342169</v>
      </c>
    </row>
    <row r="399" spans="1:9">
      <c r="A399" s="3" t="s">
        <v>169</v>
      </c>
      <c r="B399" s="3" t="s">
        <v>250</v>
      </c>
      <c r="C399" s="3">
        <v>28</v>
      </c>
      <c r="D399" s="3">
        <v>28</v>
      </c>
      <c r="E399" s="8">
        <v>-39.272728</v>
      </c>
      <c r="F399" s="8">
        <v>-9.818000000000001</v>
      </c>
      <c r="G399" s="11">
        <v>8147.040407519999</v>
      </c>
      <c r="H399" s="11">
        <v>2036.78</v>
      </c>
      <c r="I399" s="11">
        <f>H399-G399</f>
        <v>-6110.260407519999</v>
      </c>
    </row>
    <row r="400" spans="1:9">
      <c r="A400" s="3" t="s">
        <v>169</v>
      </c>
      <c r="B400" s="3" t="s">
        <v>251</v>
      </c>
      <c r="C400" s="3">
        <v>28</v>
      </c>
      <c r="D400" s="3">
        <v>28</v>
      </c>
      <c r="E400" s="8">
        <v>-9.818182</v>
      </c>
      <c r="F400" s="8">
        <v>-9.818000000000001</v>
      </c>
      <c r="G400" s="11">
        <v>1599.4205093</v>
      </c>
      <c r="H400" s="11">
        <v>1599.42</v>
      </c>
      <c r="I400" s="11">
        <f>H400-G400</f>
        <v>-0.000509299999976065</v>
      </c>
    </row>
    <row r="401" spans="1:9">
      <c r="A401" s="3" t="s">
        <v>169</v>
      </c>
      <c r="B401" s="3" t="s">
        <v>252</v>
      </c>
      <c r="C401" s="3">
        <v>29</v>
      </c>
      <c r="D401" s="3">
        <v>29</v>
      </c>
      <c r="E401" s="8">
        <v>-9.818182</v>
      </c>
      <c r="F401" s="8">
        <v>-9.818</v>
      </c>
      <c r="G401" s="11">
        <v>424.8919262800002</v>
      </c>
      <c r="H401" s="11">
        <v>424.8999999999999</v>
      </c>
      <c r="I401" s="11">
        <f>H401-G401</f>
        <v>0.008073719999629247</v>
      </c>
    </row>
    <row r="402" spans="1:9">
      <c r="A402" s="3" t="s">
        <v>169</v>
      </c>
      <c r="B402" s="3" t="s">
        <v>253</v>
      </c>
      <c r="C402" s="3">
        <v>21</v>
      </c>
      <c r="D402" s="3">
        <v>21</v>
      </c>
      <c r="E402" s="8">
        <v>-6.958363</v>
      </c>
      <c r="F402" s="8">
        <v>-6.957999999999998</v>
      </c>
      <c r="G402" s="11">
        <v>1768.38178685</v>
      </c>
      <c r="H402" s="11">
        <v>1768.4</v>
      </c>
      <c r="I402" s="11">
        <f>H402-G402</f>
        <v>0.01821315000006507</v>
      </c>
    </row>
    <row r="403" spans="1:9">
      <c r="A403" s="3" t="s">
        <v>169</v>
      </c>
      <c r="B403" s="3" t="s">
        <v>254</v>
      </c>
      <c r="C403" s="3">
        <v>29</v>
      </c>
      <c r="D403" s="3">
        <v>29</v>
      </c>
      <c r="E403" s="8">
        <v>-9.818182</v>
      </c>
      <c r="F403" s="8">
        <v>-9.818</v>
      </c>
      <c r="G403" s="11">
        <v>4583.61233839</v>
      </c>
      <c r="H403" s="11">
        <v>4583.629999999999</v>
      </c>
      <c r="I403" s="11">
        <f>H403-G403</f>
        <v>0.01766160999886779</v>
      </c>
    </row>
    <row r="404" spans="1:9">
      <c r="A404" s="3" t="s">
        <v>169</v>
      </c>
      <c r="B404" s="3" t="s">
        <v>255</v>
      </c>
      <c r="C404" s="3">
        <v>28</v>
      </c>
      <c r="D404" s="3">
        <v>28</v>
      </c>
      <c r="E404" s="8">
        <v>-9.818182</v>
      </c>
      <c r="F404" s="8">
        <v>-9.818</v>
      </c>
      <c r="G404" s="11">
        <v>3940.08013248</v>
      </c>
      <c r="H404" s="11">
        <v>3940.1</v>
      </c>
      <c r="I404" s="11">
        <f>H404-G404</f>
        <v>0.019867519999934302</v>
      </c>
    </row>
    <row r="405" spans="1:9">
      <c r="A405" s="3" t="s">
        <v>169</v>
      </c>
      <c r="B405" s="3" t="s">
        <v>256</v>
      </c>
      <c r="C405" s="3">
        <v>28</v>
      </c>
      <c r="D405" s="3">
        <v>28</v>
      </c>
      <c r="E405" s="8">
        <v>-9.818182</v>
      </c>
      <c r="F405" s="8">
        <v>-9.818</v>
      </c>
      <c r="G405" s="11">
        <v>3678.87805563</v>
      </c>
      <c r="H405" s="11">
        <v>3678.89</v>
      </c>
      <c r="I405" s="11">
        <f>H405-G405</f>
        <v>0.011944370000037452</v>
      </c>
    </row>
    <row r="406" spans="1:9">
      <c r="A406" s="3" t="s">
        <v>169</v>
      </c>
      <c r="B406" s="3" t="s">
        <v>257</v>
      </c>
      <c r="C406" s="3">
        <v>28</v>
      </c>
      <c r="D406" s="3">
        <v>28</v>
      </c>
      <c r="E406" s="8">
        <v>-9.818182</v>
      </c>
      <c r="F406" s="8">
        <v>-9.818</v>
      </c>
      <c r="G406" s="11">
        <v>4653.962588040001</v>
      </c>
      <c r="H406" s="11">
        <v>4653.99</v>
      </c>
      <c r="I406" s="11">
        <f>H406-G406</f>
        <v>0.027411959998971724</v>
      </c>
    </row>
    <row r="407" spans="1:9">
      <c r="A407" s="3" t="s">
        <v>169</v>
      </c>
      <c r="B407" s="3" t="s">
        <v>258</v>
      </c>
      <c r="C407" s="3">
        <v>28</v>
      </c>
      <c r="D407" s="3">
        <v>28</v>
      </c>
      <c r="E407" s="8">
        <v>-9.818182</v>
      </c>
      <c r="F407" s="8">
        <v>-9.818</v>
      </c>
      <c r="G407" s="11">
        <v>1209.14309338</v>
      </c>
      <c r="H407" s="11">
        <v>1209.16</v>
      </c>
      <c r="I407" s="11">
        <f>H407-G407</f>
        <v>0.016906620000327166</v>
      </c>
    </row>
    <row r="408" spans="1:9">
      <c r="A408" s="3" t="s">
        <v>169</v>
      </c>
      <c r="B408" s="3" t="s">
        <v>259</v>
      </c>
      <c r="C408" s="3">
        <v>24</v>
      </c>
      <c r="D408" s="3">
        <v>24</v>
      </c>
      <c r="E408" s="8">
        <v>-8.594726</v>
      </c>
      <c r="F408" s="8">
        <v>-8.594999999999999</v>
      </c>
      <c r="G408" s="11">
        <v>725.0342810499998</v>
      </c>
      <c r="H408" s="11">
        <v>725.01</v>
      </c>
      <c r="I408" s="11">
        <f>H408-G408</f>
        <v>-0.024281049999785864</v>
      </c>
    </row>
    <row r="409" spans="1:9">
      <c r="A409" s="3" t="s">
        <v>169</v>
      </c>
      <c r="B409" s="3" t="s">
        <v>260</v>
      </c>
      <c r="C409" s="3">
        <v>21</v>
      </c>
      <c r="D409" s="3">
        <v>21</v>
      </c>
      <c r="E409" s="8">
        <v>-6.958363</v>
      </c>
      <c r="F409" s="8">
        <v>-6.957999999999998</v>
      </c>
      <c r="G409" s="11">
        <v>1838.47981941</v>
      </c>
      <c r="H409" s="11">
        <v>1838.51</v>
      </c>
      <c r="I409" s="11">
        <f>H409-G409</f>
        <v>0.030180589999645235</v>
      </c>
    </row>
    <row r="410" spans="1:9">
      <c r="A410" s="3" t="s">
        <v>169</v>
      </c>
      <c r="B410" s="3" t="s">
        <v>261</v>
      </c>
      <c r="C410" s="3">
        <v>28</v>
      </c>
      <c r="D410" s="3">
        <v>28</v>
      </c>
      <c r="E410" s="8">
        <v>-9.818182</v>
      </c>
      <c r="F410" s="8">
        <v>-9.818</v>
      </c>
      <c r="G410" s="11">
        <v>2812.40256718</v>
      </c>
      <c r="H410" s="11">
        <v>2812.42</v>
      </c>
      <c r="I410" s="11">
        <f>H410-G410</f>
        <v>0.017432820000067295</v>
      </c>
    </row>
    <row r="411" spans="1:9">
      <c r="A411" s="3" t="s">
        <v>169</v>
      </c>
      <c r="B411" s="3" t="s">
        <v>262</v>
      </c>
      <c r="C411" s="3">
        <v>27</v>
      </c>
      <c r="D411" s="3">
        <v>27</v>
      </c>
      <c r="E411" s="8">
        <v>-9.818182</v>
      </c>
      <c r="F411" s="8">
        <v>-9.818</v>
      </c>
      <c r="G411" s="11">
        <v>3641.93776435</v>
      </c>
      <c r="H411" s="11">
        <v>3641.95</v>
      </c>
      <c r="I411" s="11">
        <f>H411-G411</f>
        <v>0.012235650000548048</v>
      </c>
    </row>
    <row r="412" spans="1:9">
      <c r="A412" s="3" t="s">
        <v>169</v>
      </c>
      <c r="B412" s="3" t="s">
        <v>263</v>
      </c>
      <c r="C412" s="3">
        <v>28</v>
      </c>
      <c r="D412" s="3">
        <v>28</v>
      </c>
      <c r="E412" s="8">
        <v>-9.818182</v>
      </c>
      <c r="F412" s="8">
        <v>-9.818</v>
      </c>
      <c r="G412" s="11">
        <v>2962.61718449</v>
      </c>
      <c r="H412" s="11">
        <v>2962.63</v>
      </c>
      <c r="I412" s="11">
        <f>H412-G412</f>
        <v>0.012815510000109498</v>
      </c>
    </row>
    <row r="413" spans="1:9">
      <c r="A413" s="3" t="s">
        <v>169</v>
      </c>
      <c r="B413" s="3" t="s">
        <v>264</v>
      </c>
      <c r="C413" s="3">
        <v>28</v>
      </c>
      <c r="D413" s="3">
        <v>28</v>
      </c>
      <c r="E413" s="8">
        <v>-9.818182</v>
      </c>
      <c r="F413" s="8">
        <v>-9.818</v>
      </c>
      <c r="G413" s="11">
        <v>1892.57535653</v>
      </c>
      <c r="H413" s="11">
        <v>1892.59</v>
      </c>
      <c r="I413" s="11">
        <f>H413-G413</f>
        <v>0.014643469999327863</v>
      </c>
    </row>
    <row r="414" spans="1:9">
      <c r="A414" s="3" t="s">
        <v>169</v>
      </c>
      <c r="B414" s="3" t="s">
        <v>265</v>
      </c>
      <c r="C414" s="3">
        <v>28</v>
      </c>
      <c r="D414" s="3">
        <v>28</v>
      </c>
      <c r="E414" s="8">
        <v>-9.818182</v>
      </c>
      <c r="F414" s="8">
        <v>-9.818</v>
      </c>
      <c r="G414" s="11">
        <v>316.7785857900003</v>
      </c>
      <c r="H414" s="11">
        <v>316.7999999999998</v>
      </c>
      <c r="I414" s="11">
        <f>H414-G414</f>
        <v>0.02141420999953425</v>
      </c>
    </row>
    <row r="415" spans="1:9">
      <c r="A415" s="3" t="s">
        <v>169</v>
      </c>
      <c r="B415" s="3" t="s">
        <v>266</v>
      </c>
      <c r="C415" s="3">
        <v>11</v>
      </c>
      <c r="D415" s="3">
        <v>11</v>
      </c>
      <c r="E415" s="8">
        <v>-3.79009</v>
      </c>
      <c r="F415" s="8">
        <v>-3.789999999999999</v>
      </c>
      <c r="G415" s="11">
        <v>587.8732987399999</v>
      </c>
      <c r="H415" s="11">
        <v>587.8800000000001</v>
      </c>
      <c r="I415" s="11">
        <f>H415-G415</f>
        <v>0.006701260000227194</v>
      </c>
    </row>
    <row r="416" spans="1:9">
      <c r="A416" s="3" t="s">
        <v>169</v>
      </c>
      <c r="B416" s="3" t="s">
        <v>267</v>
      </c>
      <c r="C416" s="3">
        <v>18</v>
      </c>
      <c r="D416" s="3">
        <v>18</v>
      </c>
      <c r="E416" s="8">
        <v>-6.140181</v>
      </c>
      <c r="F416" s="8">
        <v>-6.14</v>
      </c>
      <c r="G416" s="11">
        <v>1250.19264864</v>
      </c>
      <c r="H416" s="11">
        <v>1250.2</v>
      </c>
      <c r="I416" s="11">
        <f>H416-G416</f>
        <v>0.007351360000029672</v>
      </c>
    </row>
    <row r="417" spans="1:9">
      <c r="A417" s="3" t="s">
        <v>169</v>
      </c>
      <c r="B417" s="3" t="s">
        <v>268</v>
      </c>
      <c r="C417" s="3">
        <v>29</v>
      </c>
      <c r="D417" s="3">
        <v>29</v>
      </c>
      <c r="E417" s="8">
        <v>-9.818182</v>
      </c>
      <c r="F417" s="8">
        <v>-9.818</v>
      </c>
      <c r="G417" s="11">
        <v>3011.40976974</v>
      </c>
      <c r="H417" s="11">
        <v>3011.42</v>
      </c>
      <c r="I417" s="11">
        <f>H417-G417</f>
        <v>0.010230259999843838</v>
      </c>
    </row>
    <row r="418" spans="1:9">
      <c r="A418" s="3" t="s">
        <v>169</v>
      </c>
      <c r="B418" s="3" t="s">
        <v>269</v>
      </c>
      <c r="C418" s="3">
        <v>29</v>
      </c>
      <c r="D418" s="3">
        <v>29</v>
      </c>
      <c r="E418" s="8">
        <v>-9.818182</v>
      </c>
      <c r="F418" s="8">
        <v>-9.818</v>
      </c>
      <c r="G418" s="11">
        <v>2073.97079524</v>
      </c>
      <c r="H418" s="11">
        <v>2073.99</v>
      </c>
      <c r="I418" s="11">
        <f>H418-G418</f>
        <v>0.019204759999865928</v>
      </c>
    </row>
    <row r="419" spans="1:9">
      <c r="A419" s="3" t="s">
        <v>169</v>
      </c>
      <c r="B419" s="3" t="s">
        <v>270</v>
      </c>
      <c r="C419" s="3">
        <v>28</v>
      </c>
      <c r="D419" s="3">
        <v>28</v>
      </c>
      <c r="E419" s="8">
        <v>-9.818182</v>
      </c>
      <c r="F419" s="8">
        <v>-9.818</v>
      </c>
      <c r="G419" s="11">
        <v>3087.65543904</v>
      </c>
      <c r="H419" s="11">
        <v>3087.68</v>
      </c>
      <c r="I419" s="11">
        <f>H419-G419</f>
        <v>0.024560959999689658</v>
      </c>
    </row>
    <row r="420" spans="1:9">
      <c r="A420" s="3" t="s">
        <v>169</v>
      </c>
      <c r="B420" s="3" t="s">
        <v>271</v>
      </c>
      <c r="C420" s="3">
        <v>29</v>
      </c>
      <c r="D420" s="3">
        <v>29</v>
      </c>
      <c r="E420" s="8">
        <v>-9.818182</v>
      </c>
      <c r="F420" s="8">
        <v>-9.818</v>
      </c>
      <c r="G420" s="11">
        <v>8810.80694911</v>
      </c>
      <c r="H420" s="11">
        <v>8810.82</v>
      </c>
      <c r="I420" s="11">
        <f>H420-G420</f>
        <v>0.013050890000158688</v>
      </c>
    </row>
    <row r="421" spans="1:9">
      <c r="A421" s="3" t="s">
        <v>169</v>
      </c>
      <c r="B421" s="3" t="s">
        <v>272</v>
      </c>
      <c r="C421" s="3">
        <v>29</v>
      </c>
      <c r="D421" s="3">
        <v>29</v>
      </c>
      <c r="E421" s="8">
        <v>-9.818182</v>
      </c>
      <c r="F421" s="8">
        <v>-9.818000000000001</v>
      </c>
      <c r="G421" s="11">
        <v>1485.20857026</v>
      </c>
      <c r="H421" s="11">
        <v>1485.22</v>
      </c>
      <c r="I421" s="11">
        <f>H421-G421</f>
        <v>0.011429740000266975</v>
      </c>
    </row>
    <row r="422" spans="1:9">
      <c r="A422" s="3" t="s">
        <v>169</v>
      </c>
      <c r="B422" s="3" t="s">
        <v>273</v>
      </c>
      <c r="C422" s="3">
        <v>28</v>
      </c>
      <c r="D422" s="3">
        <v>28</v>
      </c>
      <c r="E422" s="8">
        <v>-9.818182</v>
      </c>
      <c r="F422" s="8">
        <v>-9.818</v>
      </c>
      <c r="G422" s="11">
        <v>224.8396787400001</v>
      </c>
      <c r="H422" s="11">
        <v>224.85</v>
      </c>
      <c r="I422" s="11">
        <f>H422-G422</f>
        <v>0.010321259999955146</v>
      </c>
    </row>
    <row r="423" spans="1:9">
      <c r="A423" s="3" t="s">
        <v>169</v>
      </c>
      <c r="B423" s="3" t="s">
        <v>274</v>
      </c>
      <c r="C423" s="3">
        <v>27</v>
      </c>
      <c r="D423" s="3">
        <v>27</v>
      </c>
      <c r="E423" s="8">
        <v>-9.818182</v>
      </c>
      <c r="F423" s="8">
        <v>-9.818</v>
      </c>
      <c r="G423" s="11">
        <v>4694.22025454</v>
      </c>
      <c r="H423" s="11">
        <v>4694.24</v>
      </c>
      <c r="I423" s="11">
        <f>H423-G423</f>
        <v>0.019745460000194726</v>
      </c>
    </row>
    <row r="424" spans="1:9">
      <c r="A424" s="3" t="s">
        <v>169</v>
      </c>
      <c r="B424" s="3" t="s">
        <v>275</v>
      </c>
      <c r="C424" s="3">
        <v>25</v>
      </c>
      <c r="D424" s="3">
        <v>25</v>
      </c>
      <c r="E424" s="8">
        <v>-8.496544999999999</v>
      </c>
      <c r="F424" s="8">
        <v>-8.495999999999999</v>
      </c>
      <c r="G424" s="11">
        <v>10543.65651322</v>
      </c>
      <c r="H424" s="11">
        <v>10543.78</v>
      </c>
      <c r="I424" s="11">
        <f>H424-G424</f>
        <v>0.12348677999943902</v>
      </c>
    </row>
    <row r="425" spans="1:9">
      <c r="A425" s="3" t="s">
        <v>169</v>
      </c>
      <c r="B425" s="3" t="s">
        <v>276</v>
      </c>
      <c r="C425" s="3">
        <v>28</v>
      </c>
      <c r="D425" s="3">
        <v>28</v>
      </c>
      <c r="E425" s="8">
        <v>-9.818182</v>
      </c>
      <c r="F425" s="8">
        <v>-9.818</v>
      </c>
      <c r="G425" s="11">
        <v>8834.904277939999</v>
      </c>
      <c r="H425" s="11">
        <v>8834.9</v>
      </c>
      <c r="I425" s="11">
        <f>H425-G425</f>
        <v>-0.004277939999155933</v>
      </c>
    </row>
    <row r="426" spans="1:9">
      <c r="A426" s="3" t="s">
        <v>169</v>
      </c>
      <c r="B426" s="3" t="s">
        <v>277</v>
      </c>
      <c r="C426" s="3">
        <v>29</v>
      </c>
      <c r="D426" s="3">
        <v>29</v>
      </c>
      <c r="E426" s="8">
        <v>-9.818182</v>
      </c>
      <c r="F426" s="8">
        <v>-9.818</v>
      </c>
      <c r="G426" s="11">
        <v>1056.03573296</v>
      </c>
      <c r="H426" s="11">
        <v>1056.05</v>
      </c>
      <c r="I426" s="11">
        <f>H426-G426</f>
        <v>0.01426704000027712</v>
      </c>
    </row>
    <row r="427" spans="1:9">
      <c r="A427" s="3" t="s">
        <v>169</v>
      </c>
      <c r="B427" s="3" t="s">
        <v>278</v>
      </c>
      <c r="C427" s="3">
        <v>29</v>
      </c>
      <c r="D427" s="3">
        <v>29</v>
      </c>
      <c r="E427" s="8">
        <v>-9.818182</v>
      </c>
      <c r="F427" s="8">
        <v>-9.818</v>
      </c>
      <c r="G427" s="11">
        <v>810.3378930800002</v>
      </c>
      <c r="H427" s="11">
        <v>810.3399999999999</v>
      </c>
      <c r="I427" s="11">
        <f>H427-G427</f>
        <v>0.0021069199997327814</v>
      </c>
    </row>
    <row r="428" spans="1:9">
      <c r="A428" s="3" t="s">
        <v>169</v>
      </c>
      <c r="B428" s="3" t="s">
        <v>279</v>
      </c>
      <c r="C428" s="3">
        <v>22</v>
      </c>
      <c r="D428" s="3">
        <v>22</v>
      </c>
      <c r="E428" s="8">
        <v>-7.684635999999999</v>
      </c>
      <c r="F428" s="8">
        <v>-7.684</v>
      </c>
      <c r="G428" s="11">
        <v>245.88166724</v>
      </c>
      <c r="H428" s="11">
        <v>245.9300000000003</v>
      </c>
      <c r="I428" s="11">
        <f>H428-G428</f>
        <v>0.04833276000033493</v>
      </c>
    </row>
    <row r="429" spans="1:9">
      <c r="A429" s="3" t="s">
        <v>169</v>
      </c>
      <c r="B429" s="3" t="s">
        <v>280</v>
      </c>
      <c r="C429" s="3">
        <v>15</v>
      </c>
      <c r="D429" s="3">
        <v>15</v>
      </c>
      <c r="E429" s="8">
        <v>-5.230090000000001</v>
      </c>
      <c r="F429" s="8">
        <v>-5.23</v>
      </c>
      <c r="G429" s="11">
        <v>734.7231994800002</v>
      </c>
      <c r="H429" s="11">
        <v>734.7299999999999</v>
      </c>
      <c r="I429" s="11">
        <f>H429-G429</f>
        <v>0.006800519999728749</v>
      </c>
    </row>
    <row r="430" spans="1:9">
      <c r="A430" s="3" t="s">
        <v>169</v>
      </c>
      <c r="B430" s="3" t="s">
        <v>281</v>
      </c>
      <c r="C430" s="3">
        <v>18</v>
      </c>
      <c r="D430" s="3">
        <v>18</v>
      </c>
      <c r="E430" s="8">
        <v>-6.140181</v>
      </c>
      <c r="F430" s="8">
        <v>-6.139999999999999</v>
      </c>
      <c r="G430" s="11">
        <v>132.5253593699999</v>
      </c>
      <c r="H430" s="11">
        <v>132.54</v>
      </c>
      <c r="I430" s="11">
        <f>H430-G430</f>
        <v>0.01464063000008764</v>
      </c>
    </row>
    <row r="431" spans="1:9">
      <c r="A431" s="3" t="s">
        <v>169</v>
      </c>
      <c r="B431" s="3" t="s">
        <v>282</v>
      </c>
      <c r="C431" s="3">
        <v>20</v>
      </c>
      <c r="D431" s="3">
        <v>20</v>
      </c>
      <c r="E431" s="8">
        <v>-6.860181</v>
      </c>
      <c r="F431" s="8">
        <v>-6.859999999999999</v>
      </c>
      <c r="G431" s="11">
        <v>1781.54215893</v>
      </c>
      <c r="H431" s="11">
        <v>1781.56</v>
      </c>
      <c r="I431" s="11">
        <f>H431-G431</f>
        <v>0.017841070000031323</v>
      </c>
    </row>
    <row r="432" spans="1:9">
      <c r="A432" s="3" t="s">
        <v>169</v>
      </c>
      <c r="B432" s="3" t="s">
        <v>283</v>
      </c>
      <c r="C432" s="3">
        <v>29</v>
      </c>
      <c r="D432" s="3">
        <v>29</v>
      </c>
      <c r="E432" s="8">
        <v>-9.818182</v>
      </c>
      <c r="F432" s="8">
        <v>-9.818</v>
      </c>
      <c r="G432" s="11">
        <v>6856.20926253</v>
      </c>
      <c r="H432" s="11">
        <v>6856.240000000001</v>
      </c>
      <c r="I432" s="11">
        <f>H432-G432</f>
        <v>0.030737470000531175</v>
      </c>
    </row>
    <row r="433" spans="1:9">
      <c r="A433" s="3" t="s">
        <v>169</v>
      </c>
      <c r="B433" s="3" t="s">
        <v>284</v>
      </c>
      <c r="C433" s="3">
        <v>29</v>
      </c>
      <c r="D433" s="3">
        <v>29</v>
      </c>
      <c r="E433" s="8">
        <v>-9.818182</v>
      </c>
      <c r="F433" s="8">
        <v>-9.818</v>
      </c>
      <c r="G433" s="11">
        <v>1370.97805908</v>
      </c>
      <c r="H433" s="11">
        <v>1370.99</v>
      </c>
      <c r="I433" s="11">
        <f>H433-G433</f>
        <v>0.011940920000142796</v>
      </c>
    </row>
    <row r="434" spans="1:9">
      <c r="A434" s="3" t="s">
        <v>169</v>
      </c>
      <c r="B434" s="3" t="s">
        <v>285</v>
      </c>
      <c r="C434" s="3">
        <v>18</v>
      </c>
      <c r="D434" s="3">
        <v>18</v>
      </c>
      <c r="E434" s="8">
        <v>-6.140181</v>
      </c>
      <c r="F434" s="8">
        <v>-6.139999999999999</v>
      </c>
      <c r="G434" s="11">
        <v>3361.86580267</v>
      </c>
      <c r="H434" s="11">
        <v>3361.88</v>
      </c>
      <c r="I434" s="11">
        <f>H434-G434</f>
        <v>0.014197330000115471</v>
      </c>
    </row>
    <row r="435" spans="1:9">
      <c r="A435" s="3" t="s">
        <v>169</v>
      </c>
      <c r="B435" s="3" t="s">
        <v>286</v>
      </c>
      <c r="C435" s="3">
        <v>12</v>
      </c>
      <c r="D435" s="3">
        <v>18</v>
      </c>
      <c r="E435" s="8">
        <v>13.443905</v>
      </c>
      <c r="F435" s="8">
        <v>-6.139999999999999</v>
      </c>
      <c r="G435" s="11">
        <v>1826.70517083</v>
      </c>
      <c r="H435" s="11">
        <v>533.2200000000001</v>
      </c>
      <c r="I435" s="11">
        <f>H435-G435</f>
        <v>-1293.4851708299998</v>
      </c>
    </row>
    <row r="436" spans="1:9">
      <c r="A436" s="3" t="s">
        <v>169</v>
      </c>
      <c r="B436" s="3" t="s">
        <v>287</v>
      </c>
      <c r="C436" s="3">
        <v>14</v>
      </c>
      <c r="D436" s="3">
        <v>14</v>
      </c>
      <c r="E436" s="8">
        <v>-4.909090999999999</v>
      </c>
      <c r="F436" s="8">
        <v>-4.909000000000001</v>
      </c>
      <c r="G436" s="11">
        <v>1403.16517442</v>
      </c>
      <c r="H436" s="11">
        <v>1403.17</v>
      </c>
      <c r="I436" s="11">
        <f>H436-G436</f>
        <v>0.004825580000215268</v>
      </c>
    </row>
    <row r="437" spans="1:9">
      <c r="A437" s="3" t="s">
        <v>169</v>
      </c>
      <c r="B437" s="3" t="s">
        <v>288</v>
      </c>
      <c r="C437" s="3">
        <v>23</v>
      </c>
      <c r="D437" s="3">
        <v>23</v>
      </c>
      <c r="E437" s="8">
        <v>-8.181818</v>
      </c>
      <c r="F437" s="8">
        <v>-8.182</v>
      </c>
      <c r="G437" s="11">
        <v>2690.82415512</v>
      </c>
      <c r="H437" s="11">
        <v>2690.81</v>
      </c>
      <c r="I437" s="11">
        <f>H437-G437</f>
        <v>-0.014155119999941235</v>
      </c>
    </row>
    <row r="438" spans="1:9">
      <c r="A438" s="3" t="s">
        <v>169</v>
      </c>
      <c r="B438" s="3" t="s">
        <v>289</v>
      </c>
      <c r="C438" s="3">
        <v>18</v>
      </c>
      <c r="D438" s="3">
        <v>18</v>
      </c>
      <c r="E438" s="8">
        <v>-6.140181</v>
      </c>
      <c r="F438" s="8">
        <v>-6.139999999999999</v>
      </c>
      <c r="G438" s="11">
        <v>1061.71907853</v>
      </c>
      <c r="H438" s="11">
        <v>1061.73</v>
      </c>
      <c r="I438" s="11">
        <f>H438-G438</f>
        <v>0.01092147000008481</v>
      </c>
    </row>
    <row r="439" spans="1:9">
      <c r="A439" s="3" t="s">
        <v>169</v>
      </c>
      <c r="B439" s="3" t="s">
        <v>290</v>
      </c>
      <c r="C439" s="3">
        <v>18</v>
      </c>
      <c r="D439" s="3">
        <v>18</v>
      </c>
      <c r="E439" s="8">
        <v>-6.140181</v>
      </c>
      <c r="F439" s="8">
        <v>-6.140000000000001</v>
      </c>
      <c r="G439" s="11">
        <v>1531.42067799</v>
      </c>
      <c r="H439" s="11">
        <v>1531.43</v>
      </c>
      <c r="I439" s="11">
        <f>H439-G439</f>
        <v>0.009322010000232694</v>
      </c>
    </row>
    <row r="440" spans="1:9">
      <c r="A440" s="3" t="s">
        <v>169</v>
      </c>
      <c r="B440" s="3" t="s">
        <v>291</v>
      </c>
      <c r="C440" s="3">
        <v>26</v>
      </c>
      <c r="D440" s="3">
        <v>26</v>
      </c>
      <c r="E440" s="8">
        <v>-9.020181000000001</v>
      </c>
      <c r="F440" s="8">
        <v>-9.02</v>
      </c>
      <c r="G440" s="11">
        <v>1029.83534413</v>
      </c>
      <c r="H440" s="11">
        <v>1029.85</v>
      </c>
      <c r="I440" s="11">
        <f>H440-G440</f>
        <v>0.014655870000297</v>
      </c>
    </row>
    <row r="441" spans="1:9">
      <c r="A441" s="3" t="s">
        <v>169</v>
      </c>
      <c r="B441" s="3" t="s">
        <v>292</v>
      </c>
      <c r="C441" s="3">
        <v>18</v>
      </c>
      <c r="D441" s="3">
        <v>18</v>
      </c>
      <c r="E441" s="8">
        <v>-6.140181</v>
      </c>
      <c r="F441" s="8">
        <v>-6.139999999999999</v>
      </c>
      <c r="G441" s="11">
        <v>1961.68053677</v>
      </c>
      <c r="H441" s="11">
        <v>1961.7</v>
      </c>
      <c r="I441" s="11">
        <f>H441-G441</f>
        <v>0.019463229999928444</v>
      </c>
    </row>
    <row r="442" spans="1:9">
      <c r="A442" s="3" t="s">
        <v>169</v>
      </c>
      <c r="B442" s="3" t="s">
        <v>293</v>
      </c>
      <c r="C442" s="3">
        <v>23</v>
      </c>
      <c r="D442" s="3">
        <v>23</v>
      </c>
      <c r="E442" s="8">
        <v>-7.776545</v>
      </c>
      <c r="F442" s="8">
        <v>-7.776</v>
      </c>
      <c r="G442" s="11">
        <v>1030.94165595</v>
      </c>
      <c r="H442" s="11">
        <v>1030.99</v>
      </c>
      <c r="I442" s="11">
        <f>H442-G442</f>
        <v>0.048344049999968775</v>
      </c>
    </row>
    <row r="443" spans="1:9">
      <c r="A443" s="3" t="s">
        <v>169</v>
      </c>
      <c r="B443" s="3" t="s">
        <v>294</v>
      </c>
      <c r="C443" s="3">
        <v>18</v>
      </c>
      <c r="D443" s="3">
        <v>18</v>
      </c>
      <c r="E443" s="8">
        <v>-6.140181</v>
      </c>
      <c r="F443" s="8">
        <v>-6.139999999999999</v>
      </c>
      <c r="G443" s="11">
        <v>682.9175243900002</v>
      </c>
      <c r="H443" s="11">
        <v>682.9199999999998</v>
      </c>
      <c r="I443" s="11">
        <f>H443-G443</f>
        <v>0.0024756099996920966</v>
      </c>
    </row>
    <row r="444" spans="1:9">
      <c r="A444" s="3" t="s">
        <v>169</v>
      </c>
      <c r="B444" s="3" t="s">
        <v>295</v>
      </c>
      <c r="C444" s="3">
        <v>18</v>
      </c>
      <c r="D444" s="3">
        <v>18</v>
      </c>
      <c r="E444" s="8">
        <v>-6.140181</v>
      </c>
      <c r="F444" s="8">
        <v>-6.139999999999999</v>
      </c>
      <c r="G444" s="11">
        <v>841.0077516699997</v>
      </c>
      <c r="H444" s="11">
        <v>841.03</v>
      </c>
      <c r="I444" s="11">
        <f>H444-G444</f>
        <v>0.02224833000025228</v>
      </c>
    </row>
    <row r="445" spans="1:9">
      <c r="A445" s="3" t="s">
        <v>169</v>
      </c>
      <c r="B445" s="3" t="s">
        <v>296</v>
      </c>
      <c r="C445" s="3">
        <v>25</v>
      </c>
      <c r="D445" s="3">
        <v>25</v>
      </c>
      <c r="E445" s="8">
        <v>-9</v>
      </c>
      <c r="F445" s="8">
        <v>-9</v>
      </c>
      <c r="G445" s="11">
        <v>1642.24156146</v>
      </c>
      <c r="H445" s="11">
        <v>1642.24</v>
      </c>
      <c r="I445" s="11">
        <f>H445-G445</f>
        <v>-0.001561459999265935</v>
      </c>
    </row>
    <row r="446" spans="1:9">
      <c r="A446" s="3" t="s">
        <v>169</v>
      </c>
      <c r="B446" s="3" t="s">
        <v>297</v>
      </c>
      <c r="C446" s="3">
        <v>24</v>
      </c>
      <c r="D446" s="3">
        <v>24</v>
      </c>
      <c r="E446" s="8">
        <v>-8.300181</v>
      </c>
      <c r="F446" s="8">
        <v>-8.300000000000001</v>
      </c>
      <c r="G446" s="11">
        <v>1553.22153072</v>
      </c>
      <c r="H446" s="11">
        <v>1553.24</v>
      </c>
      <c r="I446" s="11">
        <f>H446-G446</f>
        <v>0.018469279999635546</v>
      </c>
    </row>
    <row r="447" spans="1:9">
      <c r="A447" s="3" t="s">
        <v>169</v>
      </c>
      <c r="B447" s="3" t="s">
        <v>298</v>
      </c>
      <c r="C447" s="3">
        <v>26</v>
      </c>
      <c r="D447" s="3">
        <v>26</v>
      </c>
      <c r="E447" s="8">
        <v>-9.020181000000001</v>
      </c>
      <c r="F447" s="8">
        <v>-9.02</v>
      </c>
      <c r="G447" s="11">
        <v>2760.1745236</v>
      </c>
      <c r="H447" s="11">
        <v>2760.18</v>
      </c>
      <c r="I447" s="11">
        <f>H447-G447</f>
        <v>0.005476400000134163</v>
      </c>
    </row>
    <row r="448" spans="1:9">
      <c r="A448" s="3" t="s">
        <v>169</v>
      </c>
      <c r="B448" s="3" t="s">
        <v>299</v>
      </c>
      <c r="C448" s="3">
        <v>29</v>
      </c>
      <c r="D448" s="3">
        <v>29</v>
      </c>
      <c r="E448" s="8">
        <v>-9.818182</v>
      </c>
      <c r="F448" s="8">
        <v>-9.818</v>
      </c>
      <c r="G448" s="11">
        <v>2115.0315793</v>
      </c>
      <c r="H448" s="11">
        <v>2115.04</v>
      </c>
      <c r="I448" s="11">
        <f>H448-G448</f>
        <v>0.008420699999987846</v>
      </c>
    </row>
    <row r="449" spans="1:9">
      <c r="A449" s="3" t="s">
        <v>169</v>
      </c>
      <c r="B449" s="3" t="s">
        <v>300</v>
      </c>
      <c r="C449" s="3">
        <v>21</v>
      </c>
      <c r="D449" s="3">
        <v>21</v>
      </c>
      <c r="E449" s="8">
        <v>-6.958363</v>
      </c>
      <c r="F449" s="8">
        <v>-6.957999999999998</v>
      </c>
      <c r="G449" s="11">
        <v>798.8936725200001</v>
      </c>
      <c r="H449" s="11">
        <v>798.9300000000003</v>
      </c>
      <c r="I449" s="11">
        <f>H449-G449</f>
        <v>0.03632748000018182</v>
      </c>
    </row>
    <row r="450" spans="1:9">
      <c r="A450" s="3" t="s">
        <v>169</v>
      </c>
      <c r="B450" s="3" t="s">
        <v>301</v>
      </c>
      <c r="C450" s="3">
        <v>18</v>
      </c>
      <c r="D450" s="3">
        <v>18</v>
      </c>
      <c r="E450" s="8">
        <v>-6.140181</v>
      </c>
      <c r="F450" s="8">
        <v>-6.139999999999999</v>
      </c>
      <c r="G450" s="11">
        <v>419.98897686</v>
      </c>
      <c r="H450" s="11">
        <v>420.0000000000002</v>
      </c>
      <c r="I450" s="11">
        <f>H450-G450</f>
        <v>0.011023140000133935</v>
      </c>
    </row>
    <row r="451" spans="1:9">
      <c r="A451" s="3" t="s">
        <v>169</v>
      </c>
      <c r="B451" s="3" t="s">
        <v>302</v>
      </c>
      <c r="C451" s="3">
        <v>18</v>
      </c>
      <c r="D451" s="3">
        <v>18</v>
      </c>
      <c r="E451" s="8">
        <v>-6.140181</v>
      </c>
      <c r="F451" s="8">
        <v>-6.139999999999999</v>
      </c>
      <c r="G451" s="11">
        <v>843.0401854700001</v>
      </c>
      <c r="H451" s="11">
        <v>843.0500000000002</v>
      </c>
      <c r="I451" s="11">
        <f>H451-G451</f>
        <v>0.009814530000085142</v>
      </c>
    </row>
    <row r="452" spans="1:9">
      <c r="A452" s="3" t="s">
        <v>169</v>
      </c>
      <c r="B452" s="3" t="s">
        <v>303</v>
      </c>
      <c r="C452" s="3">
        <v>18</v>
      </c>
      <c r="D452" s="3">
        <v>18</v>
      </c>
      <c r="E452" s="8">
        <v>-6.140181</v>
      </c>
      <c r="F452" s="8">
        <v>-6.139999999999999</v>
      </c>
      <c r="G452" s="11">
        <v>608.8621269899996</v>
      </c>
      <c r="H452" s="11">
        <v>608.8799999999999</v>
      </c>
      <c r="I452" s="11">
        <f>H452-G452</f>
        <v>0.017873010000243994</v>
      </c>
    </row>
    <row r="453" spans="1:9">
      <c r="A453" s="3" t="s">
        <v>169</v>
      </c>
      <c r="B453" s="3" t="s">
        <v>304</v>
      </c>
      <c r="C453" s="3">
        <v>18</v>
      </c>
      <c r="D453" s="3">
        <v>18</v>
      </c>
      <c r="E453" s="8">
        <v>-6.140181</v>
      </c>
      <c r="F453" s="8">
        <v>-6.139999999999999</v>
      </c>
      <c r="G453" s="11">
        <v>690.3411178499999</v>
      </c>
      <c r="H453" s="11">
        <v>690.3499999999999</v>
      </c>
      <c r="I453" s="11">
        <f>H453-G453</f>
        <v>0.008882149999976718</v>
      </c>
    </row>
    <row r="454" spans="1:9">
      <c r="A454" s="3" t="s">
        <v>169</v>
      </c>
      <c r="B454" s="3" t="s">
        <v>305</v>
      </c>
      <c r="C454" s="3">
        <v>11</v>
      </c>
      <c r="D454" s="3">
        <v>11</v>
      </c>
      <c r="E454" s="8">
        <v>-3.79009</v>
      </c>
      <c r="F454" s="8">
        <v>-3.789999999999999</v>
      </c>
      <c r="G454" s="11">
        <v>594.77519194</v>
      </c>
      <c r="H454" s="11">
        <v>594.78</v>
      </c>
      <c r="I454" s="11">
        <f>H454-G454</f>
        <v>0.004808059999959369</v>
      </c>
    </row>
    <row r="455" spans="1:9">
      <c r="A455" s="3" t="s">
        <v>169</v>
      </c>
      <c r="B455" s="3" t="s">
        <v>306</v>
      </c>
      <c r="C455" s="3">
        <v>10</v>
      </c>
      <c r="D455" s="3">
        <v>10</v>
      </c>
      <c r="E455" s="8">
        <v>-3.600000000000001</v>
      </c>
      <c r="F455" s="8">
        <v>-3.6</v>
      </c>
      <c r="G455" s="11">
        <v>628.5823578799999</v>
      </c>
      <c r="H455" s="11">
        <v>628.58</v>
      </c>
      <c r="I455" s="11">
        <f>H455-G455</f>
        <v>-0.002357879999863144</v>
      </c>
    </row>
    <row r="456" spans="1:9">
      <c r="A456" s="3" t="s">
        <v>169</v>
      </c>
      <c r="B456" s="3" t="s">
        <v>307</v>
      </c>
      <c r="C456" s="3">
        <v>18</v>
      </c>
      <c r="D456" s="3">
        <v>18</v>
      </c>
      <c r="E456" s="8">
        <v>-6.140181</v>
      </c>
      <c r="F456" s="8">
        <v>-6.139999999999999</v>
      </c>
      <c r="G456" s="11">
        <v>486.9752060300001</v>
      </c>
      <c r="H456" s="11">
        <v>486.9900000000001</v>
      </c>
      <c r="I456" s="11">
        <f>H456-G456</f>
        <v>0.014793969999971068</v>
      </c>
    </row>
    <row r="457" spans="1:9">
      <c r="A457" s="3" t="s">
        <v>169</v>
      </c>
      <c r="B457" s="3" t="s">
        <v>308</v>
      </c>
      <c r="C457" s="3">
        <v>22</v>
      </c>
      <c r="D457" s="3">
        <v>22</v>
      </c>
      <c r="E457" s="8">
        <v>-7.979181000000001</v>
      </c>
      <c r="F457" s="8">
        <v>-7.979</v>
      </c>
      <c r="G457" s="11">
        <v>863.02930016</v>
      </c>
      <c r="H457" s="11">
        <v>863.05</v>
      </c>
      <c r="I457" s="11">
        <f>H457-G457</f>
        <v>0.020699839999906544</v>
      </c>
    </row>
    <row r="458" spans="1:9">
      <c r="A458" s="3" t="s">
        <v>169</v>
      </c>
      <c r="B458" s="3" t="s">
        <v>309</v>
      </c>
      <c r="C458" s="3">
        <v>21</v>
      </c>
      <c r="D458" s="3">
        <v>21</v>
      </c>
      <c r="E458" s="8">
        <v>-6.958363</v>
      </c>
      <c r="F458" s="8">
        <v>-6.957999999999998</v>
      </c>
      <c r="G458" s="11">
        <v>688.6511868</v>
      </c>
      <c r="H458" s="11">
        <v>688.6799999999998</v>
      </c>
      <c r="I458" s="11">
        <f>H458-G458</f>
        <v>0.02881319999983134</v>
      </c>
    </row>
    <row r="459" spans="1:9">
      <c r="A459" s="3" t="s">
        <v>169</v>
      </c>
      <c r="B459" s="3" t="s">
        <v>310</v>
      </c>
      <c r="C459" s="3">
        <v>25</v>
      </c>
      <c r="D459" s="3">
        <v>25</v>
      </c>
      <c r="E459" s="8">
        <v>-9</v>
      </c>
      <c r="F459" s="8">
        <v>-9</v>
      </c>
      <c r="G459" s="11">
        <v>1277.31597417</v>
      </c>
      <c r="H459" s="11">
        <v>1277.32</v>
      </c>
      <c r="I459" s="11">
        <f>H459-G459</f>
        <v>0.004025830000045971</v>
      </c>
    </row>
    <row r="460" spans="1:9">
      <c r="A460" s="3" t="s">
        <v>169</v>
      </c>
      <c r="B460" s="3" t="s">
        <v>311</v>
      </c>
      <c r="C460" s="3">
        <v>29</v>
      </c>
      <c r="D460" s="3">
        <v>29</v>
      </c>
      <c r="E460" s="8">
        <v>-9.818182</v>
      </c>
      <c r="F460" s="8">
        <v>-9.818</v>
      </c>
      <c r="G460" s="11">
        <v>1154.79703325</v>
      </c>
      <c r="H460" s="11">
        <v>1154.82</v>
      </c>
      <c r="I460" s="11">
        <f>H460-G460</f>
        <v>0.022966750000250613</v>
      </c>
    </row>
    <row r="461" spans="1:9">
      <c r="A461" s="3" t="s">
        <v>169</v>
      </c>
      <c r="B461" s="3" t="s">
        <v>312</v>
      </c>
      <c r="C461" s="3">
        <v>26</v>
      </c>
      <c r="D461" s="3">
        <v>26</v>
      </c>
      <c r="E461" s="8">
        <v>-9.210271000000001</v>
      </c>
      <c r="F461" s="8">
        <v>-9.209999999999999</v>
      </c>
      <c r="G461" s="11">
        <v>989.81841151</v>
      </c>
      <c r="H461" s="11">
        <v>989.8199999999999</v>
      </c>
      <c r="I461" s="11">
        <f>H461-G461</f>
        <v>0.0015884899999036861</v>
      </c>
    </row>
    <row r="462" spans="1:9">
      <c r="A462" s="3" t="s">
        <v>169</v>
      </c>
      <c r="B462" s="3" t="s">
        <v>313</v>
      </c>
      <c r="C462" s="3">
        <v>14</v>
      </c>
      <c r="D462" s="3">
        <v>14</v>
      </c>
      <c r="E462" s="8">
        <v>-4.608272</v>
      </c>
      <c r="F462" s="8">
        <v>-4.607999999999999</v>
      </c>
      <c r="G462" s="11">
        <v>1870.4867562</v>
      </c>
      <c r="H462" s="11">
        <v>1870.49</v>
      </c>
      <c r="I462" s="11">
        <f>H462-G462</f>
        <v>0.0032438000000638567</v>
      </c>
    </row>
    <row r="463" spans="1:9">
      <c r="A463" s="3" t="s">
        <v>169</v>
      </c>
      <c r="B463" s="3" t="s">
        <v>314</v>
      </c>
      <c r="C463" s="3">
        <v>14</v>
      </c>
      <c r="D463" s="3">
        <v>14</v>
      </c>
      <c r="E463" s="8">
        <v>-4.706454</v>
      </c>
      <c r="F463" s="8">
        <v>-4.706</v>
      </c>
      <c r="G463" s="11">
        <v>491.4388027199998</v>
      </c>
      <c r="H463" s="11">
        <v>491.4799999999999</v>
      </c>
      <c r="I463" s="11">
        <f>H463-G463</f>
        <v>0.04119728000011946</v>
      </c>
    </row>
    <row r="464" spans="1:9">
      <c r="A464" s="3" t="s">
        <v>169</v>
      </c>
      <c r="B464" s="3" t="s">
        <v>315</v>
      </c>
      <c r="C464" s="3">
        <v>9</v>
      </c>
      <c r="D464" s="3">
        <v>9</v>
      </c>
      <c r="E464" s="8">
        <v>-3.07009</v>
      </c>
      <c r="F464" s="8">
        <v>-3.069999999999999</v>
      </c>
      <c r="G464" s="11">
        <v>583.3155701399999</v>
      </c>
      <c r="H464" s="11">
        <v>583.3200000000002</v>
      </c>
      <c r="I464" s="11">
        <f>H464-G464</f>
        <v>0.004429860000300323</v>
      </c>
    </row>
    <row r="465" spans="1:9">
      <c r="A465" s="3" t="s">
        <v>169</v>
      </c>
      <c r="B465" s="3" t="s">
        <v>316</v>
      </c>
      <c r="C465" s="3">
        <v>18</v>
      </c>
      <c r="D465" s="3">
        <v>18</v>
      </c>
      <c r="E465" s="8">
        <v>-6.140181</v>
      </c>
      <c r="F465" s="8">
        <v>-6.139999999999999</v>
      </c>
      <c r="G465" s="11">
        <v>4949.15738263</v>
      </c>
      <c r="H465" s="11">
        <v>4949.179999999999</v>
      </c>
      <c r="I465" s="11">
        <f>H465-G465</f>
        <v>0.022617369999352377</v>
      </c>
    </row>
    <row r="466" spans="1:9">
      <c r="A466" s="3" t="s">
        <v>169</v>
      </c>
      <c r="B466" s="3" t="s">
        <v>317</v>
      </c>
      <c r="C466" s="3">
        <v>26</v>
      </c>
      <c r="D466" s="3">
        <v>26</v>
      </c>
      <c r="E466" s="8">
        <v>-9.020181000000001</v>
      </c>
      <c r="F466" s="8">
        <v>-9.02</v>
      </c>
      <c r="G466" s="11">
        <v>2249.610018909999</v>
      </c>
      <c r="H466" s="11">
        <v>2249.63</v>
      </c>
      <c r="I466" s="11">
        <f>H466-G466</f>
        <v>0.019981090000783297</v>
      </c>
    </row>
    <row r="467" spans="1:9">
      <c r="A467" s="3" t="s">
        <v>169</v>
      </c>
      <c r="B467" s="3" t="s">
        <v>318</v>
      </c>
      <c r="C467" s="3">
        <v>29</v>
      </c>
      <c r="D467" s="3">
        <v>29</v>
      </c>
      <c r="E467" s="8">
        <v>-9.818182</v>
      </c>
      <c r="F467" s="8">
        <v>-9.818</v>
      </c>
      <c r="G467" s="11">
        <v>1212.84477105</v>
      </c>
      <c r="H467" s="11">
        <v>1212.86</v>
      </c>
      <c r="I467" s="11">
        <f>H467-G467</f>
        <v>0.015228950000164332</v>
      </c>
    </row>
    <row r="468" spans="1:9">
      <c r="A468" s="3" t="s">
        <v>169</v>
      </c>
      <c r="B468" s="3" t="s">
        <v>319</v>
      </c>
      <c r="C468" s="3">
        <v>28</v>
      </c>
      <c r="D468" s="3">
        <v>28</v>
      </c>
      <c r="E468" s="8">
        <v>-9.818182</v>
      </c>
      <c r="F468" s="8">
        <v>-9.818</v>
      </c>
      <c r="G468" s="11">
        <v>3287.70544442</v>
      </c>
      <c r="H468" s="11">
        <v>3287.72</v>
      </c>
      <c r="I468" s="11">
        <f>H468-G468</f>
        <v>0.014555579999978363</v>
      </c>
    </row>
    <row r="469" spans="1:9">
      <c r="A469" s="3" t="s">
        <v>169</v>
      </c>
      <c r="B469" s="3" t="s">
        <v>320</v>
      </c>
      <c r="C469" s="3">
        <v>18</v>
      </c>
      <c r="D469" s="3">
        <v>18</v>
      </c>
      <c r="E469" s="8">
        <v>-6.140181</v>
      </c>
      <c r="F469" s="8">
        <v>-6.139999999999999</v>
      </c>
      <c r="G469" s="11">
        <v>753.4541572599998</v>
      </c>
      <c r="H469" s="11">
        <v>753.4699999999999</v>
      </c>
      <c r="I469" s="11">
        <f>H469-G469</f>
        <v>0.015842740000152844</v>
      </c>
    </row>
    <row r="470" spans="1:9">
      <c r="A470" s="3" t="s">
        <v>169</v>
      </c>
      <c r="B470" s="3" t="s">
        <v>321</v>
      </c>
      <c r="C470" s="3">
        <v>20</v>
      </c>
      <c r="D470" s="3">
        <v>20</v>
      </c>
      <c r="E470" s="8">
        <v>-6.958362999999999</v>
      </c>
      <c r="F470" s="8">
        <v>-6.958</v>
      </c>
      <c r="G470" s="11">
        <v>2056.00760941</v>
      </c>
      <c r="H470" s="11">
        <v>2056.03</v>
      </c>
      <c r="I470" s="11">
        <f>H470-G470</f>
        <v>0.022390590000213706</v>
      </c>
    </row>
    <row r="471" spans="1:9">
      <c r="A471" s="3" t="s">
        <v>169</v>
      </c>
      <c r="B471" s="3" t="s">
        <v>322</v>
      </c>
      <c r="C471" s="3">
        <v>15</v>
      </c>
      <c r="D471" s="3">
        <v>15</v>
      </c>
      <c r="E471" s="8">
        <v>-5.328271999999999</v>
      </c>
      <c r="F471" s="8">
        <v>-5.328</v>
      </c>
      <c r="G471" s="11">
        <v>795.0400070800001</v>
      </c>
      <c r="H471" s="11">
        <v>795.0700000000002</v>
      </c>
      <c r="I471" s="11">
        <f>H471-G471</f>
        <v>0.029992920000040613</v>
      </c>
    </row>
    <row r="472" spans="1:9">
      <c r="A472" s="3" t="s">
        <v>169</v>
      </c>
      <c r="B472" s="3" t="s">
        <v>323</v>
      </c>
      <c r="C472" s="3">
        <v>20</v>
      </c>
      <c r="D472" s="3">
        <v>20</v>
      </c>
      <c r="E472" s="8">
        <v>-6.958362999999999</v>
      </c>
      <c r="F472" s="8">
        <v>-6.958</v>
      </c>
      <c r="G472" s="11">
        <v>1172.9991884</v>
      </c>
      <c r="H472" s="11">
        <v>1173.03</v>
      </c>
      <c r="I472" s="11">
        <f>H472-G472</f>
        <v>0.030811599999651662</v>
      </c>
    </row>
    <row r="473" spans="1:9">
      <c r="A473" s="3" t="s">
        <v>169</v>
      </c>
      <c r="B473" s="3" t="s">
        <v>324</v>
      </c>
      <c r="C473" s="3">
        <v>18</v>
      </c>
      <c r="D473" s="3">
        <v>18</v>
      </c>
      <c r="E473" s="8">
        <v>-6.140181</v>
      </c>
      <c r="F473" s="8">
        <v>-6.14</v>
      </c>
      <c r="G473" s="11">
        <v>1381.34653935</v>
      </c>
      <c r="H473" s="11">
        <v>1381.36</v>
      </c>
      <c r="I473" s="11">
        <f>H473-G473</f>
        <v>0.013460650000297392</v>
      </c>
    </row>
    <row r="474" spans="1:9">
      <c r="A474" s="3" t="s">
        <v>169</v>
      </c>
      <c r="B474" s="3" t="s">
        <v>325</v>
      </c>
      <c r="C474" s="3">
        <v>18</v>
      </c>
      <c r="D474" s="3">
        <v>18</v>
      </c>
      <c r="E474" s="8">
        <v>-6.140181</v>
      </c>
      <c r="F474" s="8">
        <v>-6.139999999999999</v>
      </c>
      <c r="G474" s="11">
        <v>1621.06126946</v>
      </c>
      <c r="H474" s="11">
        <v>1621.08</v>
      </c>
      <c r="I474" s="11">
        <f>H474-G474</f>
        <v>0.018730539999978646</v>
      </c>
    </row>
    <row r="475" spans="1:9">
      <c r="A475" s="3" t="s">
        <v>169</v>
      </c>
      <c r="B475" s="3" t="s">
        <v>326</v>
      </c>
      <c r="C475" s="3">
        <v>18</v>
      </c>
      <c r="D475" s="3">
        <v>18</v>
      </c>
      <c r="E475" s="8">
        <v>-6.140181</v>
      </c>
      <c r="F475" s="8">
        <v>-6.14</v>
      </c>
      <c r="G475" s="11">
        <v>1916.76000919</v>
      </c>
      <c r="H475" s="11">
        <v>1916.77</v>
      </c>
      <c r="I475" s="11">
        <f>H475-G475</f>
        <v>0.009990809999862904</v>
      </c>
    </row>
    <row r="476" spans="1:9">
      <c r="A476" s="3" t="s">
        <v>169</v>
      </c>
      <c r="B476" s="3" t="s">
        <v>327</v>
      </c>
      <c r="C476" s="3">
        <v>21</v>
      </c>
      <c r="D476" s="3">
        <v>21</v>
      </c>
      <c r="E476" s="8">
        <v>-6.958363</v>
      </c>
      <c r="F476" s="8">
        <v>-6.957999999999998</v>
      </c>
      <c r="G476" s="11">
        <v>3431.25864939</v>
      </c>
      <c r="H476" s="11">
        <v>3431.3</v>
      </c>
      <c r="I476" s="11">
        <f>H476-G476</f>
        <v>0.04135060999988127</v>
      </c>
    </row>
    <row r="477" spans="1:9">
      <c r="A477" s="3" t="s">
        <v>169</v>
      </c>
      <c r="B477" s="3" t="s">
        <v>328</v>
      </c>
      <c r="C477" s="3">
        <v>18</v>
      </c>
      <c r="D477" s="3">
        <v>18</v>
      </c>
      <c r="E477" s="8">
        <v>-6.140181</v>
      </c>
      <c r="F477" s="8">
        <v>-6.139999999999999</v>
      </c>
      <c r="G477" s="11">
        <v>1243.068242280001</v>
      </c>
      <c r="H477" s="11">
        <v>1243.09</v>
      </c>
      <c r="I477" s="11">
        <f>H477-G477</f>
        <v>0.021757719999641267</v>
      </c>
    </row>
    <row r="478" spans="1:9">
      <c r="A478" s="3" t="s">
        <v>169</v>
      </c>
      <c r="B478" s="3" t="s">
        <v>329</v>
      </c>
      <c r="C478" s="3">
        <v>18</v>
      </c>
      <c r="D478" s="3">
        <v>18</v>
      </c>
      <c r="E478" s="8">
        <v>-6.140181</v>
      </c>
      <c r="F478" s="8">
        <v>-6.139999999999999</v>
      </c>
      <c r="G478" s="11">
        <v>1057.88455978</v>
      </c>
      <c r="H478" s="11">
        <v>1057.91</v>
      </c>
      <c r="I478" s="11">
        <f>H478-G478</f>
        <v>0.025440220000746194</v>
      </c>
    </row>
    <row r="479" spans="1:9">
      <c r="A479" s="3" t="s">
        <v>169</v>
      </c>
      <c r="B479" s="3" t="s">
        <v>330</v>
      </c>
      <c r="C479" s="3">
        <v>18</v>
      </c>
      <c r="D479" s="3">
        <v>18</v>
      </c>
      <c r="E479" s="8">
        <v>-6.140181</v>
      </c>
      <c r="F479" s="8">
        <v>-6.139999999999999</v>
      </c>
      <c r="G479" s="11">
        <v>3430.12847623</v>
      </c>
      <c r="H479" s="11">
        <v>3430.15</v>
      </c>
      <c r="I479" s="11">
        <f>H479-G479</f>
        <v>0.021523769999475917</v>
      </c>
    </row>
    <row r="480" spans="1:9">
      <c r="A480" s="3" t="s">
        <v>169</v>
      </c>
      <c r="B480" s="3" t="s">
        <v>331</v>
      </c>
      <c r="C480" s="3">
        <v>27</v>
      </c>
      <c r="D480" s="3">
        <v>27</v>
      </c>
      <c r="E480" s="8">
        <v>-9.412908000000002</v>
      </c>
      <c r="F480" s="8">
        <v>-9.413</v>
      </c>
      <c r="G480" s="11">
        <v>8328.60972461</v>
      </c>
      <c r="H480" s="11">
        <v>8328.59</v>
      </c>
      <c r="I480" s="11">
        <f>H480-G480</f>
        <v>-0.019724609999684617</v>
      </c>
    </row>
    <row r="481" spans="1:9">
      <c r="A481" s="3" t="s">
        <v>169</v>
      </c>
      <c r="B481" s="3" t="s">
        <v>332</v>
      </c>
      <c r="C481" s="3">
        <v>28</v>
      </c>
      <c r="D481" s="3">
        <v>28</v>
      </c>
      <c r="E481" s="8">
        <v>-9.818182</v>
      </c>
      <c r="F481" s="8">
        <v>-9.818000000000001</v>
      </c>
      <c r="G481" s="11">
        <v>3086.25186434</v>
      </c>
      <c r="H481" s="11">
        <v>3086.28</v>
      </c>
      <c r="I481" s="11">
        <f>H481-G481</f>
        <v>0.028135659999861673</v>
      </c>
    </row>
    <row r="482" spans="1:9">
      <c r="A482" s="3" t="s">
        <v>169</v>
      </c>
      <c r="B482" s="3" t="s">
        <v>333</v>
      </c>
      <c r="C482" s="3">
        <v>28</v>
      </c>
      <c r="D482" s="3">
        <v>28</v>
      </c>
      <c r="E482" s="8">
        <v>-9.818182</v>
      </c>
      <c r="F482" s="8">
        <v>-9.818000000000001</v>
      </c>
      <c r="G482" s="11">
        <v>2279.9710863</v>
      </c>
      <c r="H482" s="11">
        <v>2279.99</v>
      </c>
      <c r="I482" s="11">
        <f>H482-G482</f>
        <v>0.018913700000211975</v>
      </c>
    </row>
    <row r="483" spans="1:9">
      <c r="A483" s="3" t="s">
        <v>169</v>
      </c>
      <c r="B483" s="3" t="s">
        <v>334</v>
      </c>
      <c r="C483" s="3">
        <v>27</v>
      </c>
      <c r="D483" s="3">
        <v>27</v>
      </c>
      <c r="E483" s="8">
        <v>-9.818182</v>
      </c>
      <c r="F483" s="8">
        <v>-9.818000000000001</v>
      </c>
      <c r="G483" s="11">
        <v>2345.03467355</v>
      </c>
      <c r="H483" s="11">
        <v>2345.05</v>
      </c>
      <c r="I483" s="11">
        <f>H483-G483</f>
        <v>0.015326450000429759</v>
      </c>
    </row>
    <row r="484" spans="1:9">
      <c r="A484" s="3" t="s">
        <v>169</v>
      </c>
      <c r="B484" s="3" t="s">
        <v>335</v>
      </c>
      <c r="C484" s="3">
        <v>25</v>
      </c>
      <c r="D484" s="3">
        <v>25</v>
      </c>
      <c r="E484" s="8">
        <v>-9</v>
      </c>
      <c r="F484" s="8">
        <v>-9</v>
      </c>
      <c r="G484" s="11">
        <v>916.1224945500005</v>
      </c>
      <c r="H484" s="11">
        <v>916.1200000000003</v>
      </c>
      <c r="I484" s="11">
        <f>H484-G484</f>
        <v>-0.0024945500001649634</v>
      </c>
    </row>
    <row r="485" spans="1:9">
      <c r="A485" s="3" t="s">
        <v>169</v>
      </c>
      <c r="B485" s="3" t="s">
        <v>336</v>
      </c>
      <c r="C485" s="3">
        <v>23</v>
      </c>
      <c r="D485" s="3">
        <v>23</v>
      </c>
      <c r="E485" s="8">
        <v>-8.300180000000001</v>
      </c>
      <c r="F485" s="8">
        <v>-8.300000000000001</v>
      </c>
      <c r="G485" s="11">
        <v>-186.6583113200001</v>
      </c>
      <c r="H485" s="11">
        <v>-186.6299999999995</v>
      </c>
      <c r="I485" s="11">
        <f>H485-G485</f>
        <v>0.02831132000051184</v>
      </c>
    </row>
    <row r="486" spans="1:9">
      <c r="A486" s="3" t="s">
        <v>169</v>
      </c>
      <c r="B486" s="3" t="s">
        <v>337</v>
      </c>
      <c r="C486" s="3">
        <v>18</v>
      </c>
      <c r="D486" s="3">
        <v>18</v>
      </c>
      <c r="E486" s="8">
        <v>-6.140181</v>
      </c>
      <c r="F486" s="8">
        <v>-6.139999999999999</v>
      </c>
      <c r="G486" s="11">
        <v>2893.7919902</v>
      </c>
      <c r="H486" s="11">
        <v>2893.82</v>
      </c>
      <c r="I486" s="11">
        <f>H486-G486</f>
        <v>0.028009799999381357</v>
      </c>
    </row>
    <row r="487" spans="1:9">
      <c r="A487" s="3" t="s">
        <v>169</v>
      </c>
      <c r="B487" s="3" t="s">
        <v>338</v>
      </c>
      <c r="C487" s="3">
        <v>23</v>
      </c>
      <c r="D487" s="3">
        <v>23</v>
      </c>
      <c r="E487" s="8">
        <v>-7.776545</v>
      </c>
      <c r="F487" s="8">
        <v>-7.776</v>
      </c>
      <c r="G487" s="11">
        <v>1395.60794051</v>
      </c>
      <c r="H487" s="11">
        <v>1395.68</v>
      </c>
      <c r="I487" s="11">
        <f>H487-G487</f>
        <v>0.07205949000012879</v>
      </c>
    </row>
    <row r="488" spans="1:9">
      <c r="A488" s="3" t="s">
        <v>169</v>
      </c>
      <c r="B488" s="3" t="s">
        <v>339</v>
      </c>
      <c r="C488" s="3">
        <v>29</v>
      </c>
      <c r="D488" s="3">
        <v>29</v>
      </c>
      <c r="E488" s="8">
        <v>-9.818182</v>
      </c>
      <c r="F488" s="8">
        <v>-9.818</v>
      </c>
      <c r="G488" s="11">
        <v>2286.4738641</v>
      </c>
      <c r="H488" s="11">
        <v>2286.5</v>
      </c>
      <c r="I488" s="11">
        <f>H488-G488</f>
        <v>0.026135900000099355</v>
      </c>
    </row>
    <row r="489" spans="1:9">
      <c r="A489" s="3" t="s">
        <v>169</v>
      </c>
      <c r="B489" s="3" t="s">
        <v>340</v>
      </c>
      <c r="C489" s="3">
        <v>18</v>
      </c>
      <c r="D489" s="3">
        <v>18</v>
      </c>
      <c r="E489" s="8">
        <v>-6.140181</v>
      </c>
      <c r="F489" s="8">
        <v>-6.139999999999999</v>
      </c>
      <c r="G489" s="11">
        <v>2249.19250053</v>
      </c>
      <c r="H489" s="11">
        <v>2249.21</v>
      </c>
      <c r="I489" s="11">
        <f>H489-G489</f>
        <v>0.017499470000075235</v>
      </c>
    </row>
    <row r="490" spans="1:9">
      <c r="A490" s="3" t="s">
        <v>169</v>
      </c>
      <c r="B490" s="3" t="s">
        <v>341</v>
      </c>
      <c r="C490" s="3">
        <v>18</v>
      </c>
      <c r="D490" s="3">
        <v>18</v>
      </c>
      <c r="E490" s="8">
        <v>-6.140181</v>
      </c>
      <c r="F490" s="8">
        <v>-6.139999999999999</v>
      </c>
      <c r="G490" s="11">
        <v>1213.96890947</v>
      </c>
      <c r="H490" s="11">
        <v>1213.98</v>
      </c>
      <c r="I490" s="11">
        <f>H490-G490</f>
        <v>0.01109052999981941</v>
      </c>
    </row>
    <row r="491" spans="1:9">
      <c r="A491" s="3" t="s">
        <v>169</v>
      </c>
      <c r="B491" s="3" t="s">
        <v>342</v>
      </c>
      <c r="C491" s="3">
        <v>17</v>
      </c>
      <c r="D491" s="3">
        <v>17</v>
      </c>
      <c r="E491" s="8">
        <v>-5.95009</v>
      </c>
      <c r="F491" s="8">
        <v>-5.949999999999999</v>
      </c>
      <c r="G491" s="11">
        <v>1058.6606786</v>
      </c>
      <c r="H491" s="11">
        <v>1058.67</v>
      </c>
      <c r="I491" s="11">
        <f>H491-G491</f>
        <v>0.009321400000317226</v>
      </c>
    </row>
    <row r="492" spans="1:9">
      <c r="A492" s="3" t="s">
        <v>169</v>
      </c>
      <c r="B492" s="3" t="s">
        <v>343</v>
      </c>
      <c r="C492" s="3">
        <v>13</v>
      </c>
      <c r="D492" s="3">
        <v>13</v>
      </c>
      <c r="E492" s="8">
        <v>-4.51009</v>
      </c>
      <c r="F492" s="8">
        <v>-4.51</v>
      </c>
      <c r="G492" s="11">
        <v>761.58006356</v>
      </c>
      <c r="H492" s="11">
        <v>761.59</v>
      </c>
      <c r="I492" s="11">
        <f>H492-G492</f>
        <v>0.009936440000046787</v>
      </c>
    </row>
    <row r="493" spans="1:9">
      <c r="A493" s="3" t="s">
        <v>169</v>
      </c>
      <c r="B493" s="3" t="s">
        <v>344</v>
      </c>
      <c r="C493" s="3">
        <v>18</v>
      </c>
      <c r="D493" s="3">
        <v>18</v>
      </c>
      <c r="E493" s="8">
        <v>-6.140181</v>
      </c>
      <c r="F493" s="8">
        <v>-6.139999999999999</v>
      </c>
      <c r="G493" s="11">
        <v>219.7001577999998</v>
      </c>
      <c r="H493" s="11">
        <v>219.7200000000003</v>
      </c>
      <c r="I493" s="11">
        <f>H493-G493</f>
        <v>0.01984220000042569</v>
      </c>
    </row>
    <row r="494" spans="1:9">
      <c r="A494" s="3" t="s">
        <v>169</v>
      </c>
      <c r="B494" s="3" t="s">
        <v>345</v>
      </c>
      <c r="C494" s="3">
        <v>29</v>
      </c>
      <c r="D494" s="3">
        <v>29</v>
      </c>
      <c r="E494" s="8">
        <v>-9.818182</v>
      </c>
      <c r="F494" s="8">
        <v>-9.818</v>
      </c>
      <c r="G494" s="11">
        <v>1052.069628400001</v>
      </c>
      <c r="H494" s="11">
        <v>1052.09</v>
      </c>
      <c r="I494" s="11">
        <f>H494-G494</f>
        <v>0.020371599999407408</v>
      </c>
    </row>
    <row r="495" spans="1:9">
      <c r="A495" s="3" t="s">
        <v>169</v>
      </c>
      <c r="B495" s="3" t="s">
        <v>346</v>
      </c>
      <c r="C495" s="3">
        <v>29</v>
      </c>
      <c r="D495" s="3">
        <v>29</v>
      </c>
      <c r="E495" s="8">
        <v>-9.818182</v>
      </c>
      <c r="F495" s="8">
        <v>-9.818</v>
      </c>
      <c r="G495" s="11">
        <v>1633.89365262</v>
      </c>
      <c r="H495" s="11">
        <v>1633.91</v>
      </c>
      <c r="I495" s="11">
        <f>H495-G495</f>
        <v>0.01634738000007019</v>
      </c>
    </row>
    <row r="496" spans="1:9">
      <c r="A496" s="3" t="s">
        <v>169</v>
      </c>
      <c r="B496" s="3" t="s">
        <v>347</v>
      </c>
      <c r="C496" s="3">
        <v>29</v>
      </c>
      <c r="D496" s="3">
        <v>29</v>
      </c>
      <c r="E496" s="8">
        <v>-9.818182</v>
      </c>
      <c r="F496" s="8">
        <v>-9.818</v>
      </c>
      <c r="G496" s="11">
        <v>1584.91817708</v>
      </c>
      <c r="H496" s="11">
        <v>1584.94</v>
      </c>
      <c r="I496" s="11">
        <f>H496-G496</f>
        <v>0.02182292000020425</v>
      </c>
    </row>
    <row r="497" spans="1:9">
      <c r="A497" s="3" t="s">
        <v>169</v>
      </c>
      <c r="B497" s="3" t="s">
        <v>348</v>
      </c>
      <c r="C497" s="3">
        <v>28</v>
      </c>
      <c r="D497" s="3">
        <v>28</v>
      </c>
      <c r="E497" s="8">
        <v>-39.272728</v>
      </c>
      <c r="F497" s="8">
        <v>-9.818</v>
      </c>
      <c r="G497" s="11">
        <v>3609.084752239999</v>
      </c>
      <c r="H497" s="11">
        <v>902.2900000000002</v>
      </c>
      <c r="I497" s="11">
        <f>H497-G497</f>
        <v>-2706.794752239999</v>
      </c>
    </row>
    <row r="498" spans="1:9">
      <c r="A498" s="3" t="s">
        <v>169</v>
      </c>
      <c r="B498" s="3" t="s">
        <v>349</v>
      </c>
      <c r="C498" s="3">
        <v>14</v>
      </c>
      <c r="D498" s="3">
        <v>14</v>
      </c>
      <c r="E498" s="8">
        <v>-4.810909</v>
      </c>
      <c r="F498" s="8">
        <v>-4.811</v>
      </c>
      <c r="G498" s="11">
        <v>893.7583962300002</v>
      </c>
      <c r="H498" s="11">
        <v>893.75</v>
      </c>
      <c r="I498" s="11">
        <f>H498-G498</f>
        <v>-0.008396230000244032</v>
      </c>
    </row>
    <row r="499" spans="1:9">
      <c r="A499" s="3" t="s">
        <v>169</v>
      </c>
      <c r="B499" s="3" t="s">
        <v>350</v>
      </c>
      <c r="C499" s="3">
        <v>12</v>
      </c>
      <c r="D499" s="3">
        <v>12</v>
      </c>
      <c r="E499" s="8">
        <v>-4.090909</v>
      </c>
      <c r="F499" s="8">
        <v>-4.090999999999999</v>
      </c>
      <c r="G499" s="11">
        <v>751.7491378199999</v>
      </c>
      <c r="H499" s="11">
        <v>751.7400000000001</v>
      </c>
      <c r="I499" s="11">
        <f>H499-G499</f>
        <v>-0.009137819999750718</v>
      </c>
    </row>
    <row r="500" spans="1:9">
      <c r="A500" s="3" t="s">
        <v>169</v>
      </c>
      <c r="B500" s="3" t="s">
        <v>351</v>
      </c>
      <c r="C500" s="3">
        <v>23</v>
      </c>
      <c r="D500" s="3">
        <v>23</v>
      </c>
      <c r="E500" s="8">
        <v>-7.776545</v>
      </c>
      <c r="F500" s="8">
        <v>-7.776</v>
      </c>
      <c r="G500" s="11">
        <v>4261.195422790001</v>
      </c>
      <c r="H500" s="11">
        <v>4261.27</v>
      </c>
      <c r="I500" s="11">
        <f>H500-G500</f>
        <v>0.0745772099999158</v>
      </c>
    </row>
    <row r="501" spans="1:9">
      <c r="A501" s="3" t="s">
        <v>169</v>
      </c>
      <c r="B501" s="3" t="s">
        <v>352</v>
      </c>
      <c r="C501" s="3">
        <v>27</v>
      </c>
      <c r="D501" s="3">
        <v>27</v>
      </c>
      <c r="E501" s="8">
        <v>-9.412908000000002</v>
      </c>
      <c r="F501" s="8">
        <v>-9.412999999999998</v>
      </c>
      <c r="G501" s="11">
        <v>1312.226875359999</v>
      </c>
      <c r="H501" s="11">
        <v>1312.22</v>
      </c>
      <c r="I501" s="11">
        <f>H501-G501</f>
        <v>-0.006875359999412467</v>
      </c>
    </row>
    <row r="502" spans="1:9">
      <c r="A502" s="3" t="s">
        <v>169</v>
      </c>
      <c r="B502" s="3" t="s">
        <v>353</v>
      </c>
      <c r="C502" s="3">
        <v>27</v>
      </c>
      <c r="D502" s="3">
        <v>27</v>
      </c>
      <c r="E502" s="8">
        <v>-9.818182</v>
      </c>
      <c r="F502" s="8">
        <v>-9.818</v>
      </c>
      <c r="G502" s="11">
        <v>1066.78272838</v>
      </c>
      <c r="H502" s="11">
        <v>1066.81</v>
      </c>
      <c r="I502" s="11">
        <f>H502-G502</f>
        <v>0.027271620000192343</v>
      </c>
    </row>
    <row r="503" spans="1:9">
      <c r="A503" s="3" t="s">
        <v>169</v>
      </c>
      <c r="B503" s="3" t="s">
        <v>354</v>
      </c>
      <c r="C503" s="3">
        <v>28</v>
      </c>
      <c r="D503" s="3">
        <v>28</v>
      </c>
      <c r="E503" s="8">
        <v>-9.818182</v>
      </c>
      <c r="F503" s="8">
        <v>-9.818</v>
      </c>
      <c r="G503" s="11">
        <v>1448.82699632</v>
      </c>
      <c r="H503" s="11">
        <v>1448.84</v>
      </c>
      <c r="I503" s="11">
        <f>H503-G503</f>
        <v>0.013003679999656015</v>
      </c>
    </row>
    <row r="504" spans="1:9">
      <c r="A504" s="3" t="s">
        <v>169</v>
      </c>
      <c r="B504" s="3" t="s">
        <v>355</v>
      </c>
      <c r="C504" s="3">
        <v>18</v>
      </c>
      <c r="D504" s="3">
        <v>18</v>
      </c>
      <c r="E504" s="8">
        <v>-6.140181</v>
      </c>
      <c r="F504" s="8">
        <v>-6.139999999999999</v>
      </c>
      <c r="G504" s="11">
        <v>1160.10839385</v>
      </c>
      <c r="H504" s="11">
        <v>1160.13</v>
      </c>
      <c r="I504" s="11">
        <f>H504-G504</f>
        <v>0.02160615000002508</v>
      </c>
    </row>
    <row r="505" spans="1:9">
      <c r="A505" s="3" t="s">
        <v>169</v>
      </c>
      <c r="B505" s="3" t="s">
        <v>356</v>
      </c>
      <c r="C505" s="3">
        <v>26</v>
      </c>
      <c r="D505" s="3">
        <v>26</v>
      </c>
      <c r="E505" s="8">
        <v>-9.818182</v>
      </c>
      <c r="F505" s="8">
        <v>-9.818</v>
      </c>
      <c r="G505" s="11">
        <v>868.6818623299998</v>
      </c>
      <c r="H505" s="11">
        <v>868.6999999999999</v>
      </c>
      <c r="I505" s="11">
        <f>H505-G505</f>
        <v>0.018137670000101025</v>
      </c>
    </row>
    <row r="506" spans="1:9">
      <c r="A506" s="3" t="s">
        <v>169</v>
      </c>
      <c r="B506" s="3" t="s">
        <v>357</v>
      </c>
      <c r="C506" s="3">
        <v>15</v>
      </c>
      <c r="D506" s="3">
        <v>15</v>
      </c>
      <c r="E506" s="8">
        <v>-5.426454</v>
      </c>
      <c r="F506" s="8">
        <v>-5.426</v>
      </c>
      <c r="G506" s="11">
        <v>1145.46480788</v>
      </c>
      <c r="H506" s="11">
        <v>1145.49</v>
      </c>
      <c r="I506" s="11">
        <f>H506-G506</f>
        <v>0.02519211999970139</v>
      </c>
    </row>
    <row r="507" spans="1:9">
      <c r="A507" s="3" t="s">
        <v>169</v>
      </c>
      <c r="B507" s="3" t="s">
        <v>358</v>
      </c>
      <c r="C507" s="3">
        <v>20</v>
      </c>
      <c r="D507" s="3">
        <v>20</v>
      </c>
      <c r="E507" s="8">
        <v>-6.860181</v>
      </c>
      <c r="F507" s="8">
        <v>-6.859999999999999</v>
      </c>
      <c r="G507" s="11">
        <v>1884.2411468</v>
      </c>
      <c r="H507" s="11">
        <v>1884.26</v>
      </c>
      <c r="I507" s="11">
        <f>H507-G507</f>
        <v>0.01885319999951207</v>
      </c>
    </row>
    <row r="508" spans="1:9">
      <c r="A508" s="3" t="s">
        <v>169</v>
      </c>
      <c r="B508" s="3" t="s">
        <v>359</v>
      </c>
      <c r="C508" s="3">
        <v>22</v>
      </c>
      <c r="D508" s="3">
        <v>22</v>
      </c>
      <c r="E508" s="8">
        <v>-7.580181000000001</v>
      </c>
      <c r="F508" s="8">
        <v>-7.58</v>
      </c>
      <c r="G508" s="11">
        <v>1201.54094454</v>
      </c>
      <c r="H508" s="11">
        <v>1201.56</v>
      </c>
      <c r="I508" s="11">
        <f>H508-G508</f>
        <v>0.019055460000345192</v>
      </c>
    </row>
    <row r="509" spans="1:9">
      <c r="A509" s="3" t="s">
        <v>169</v>
      </c>
      <c r="B509" s="3" t="s">
        <v>360</v>
      </c>
      <c r="C509" s="3">
        <v>29</v>
      </c>
      <c r="D509" s="3">
        <v>29</v>
      </c>
      <c r="E509" s="8">
        <v>-9.818182</v>
      </c>
      <c r="F509" s="8">
        <v>-9.818</v>
      </c>
      <c r="G509" s="11">
        <v>3394.65819444</v>
      </c>
      <c r="H509" s="11">
        <v>3394.67</v>
      </c>
      <c r="I509" s="11">
        <f>H509-G509</f>
        <v>0.01180556000008437</v>
      </c>
    </row>
    <row r="510" spans="1:9">
      <c r="A510" s="3" t="s">
        <v>169</v>
      </c>
      <c r="B510" s="3" t="s">
        <v>361</v>
      </c>
      <c r="C510" s="3">
        <v>27</v>
      </c>
      <c r="D510" s="3">
        <v>27</v>
      </c>
      <c r="E510" s="8">
        <v>-9.818182</v>
      </c>
      <c r="F510" s="8">
        <v>-9.818</v>
      </c>
      <c r="G510" s="11">
        <v>530.5027777</v>
      </c>
      <c r="H510" s="11">
        <v>530.51</v>
      </c>
      <c r="I510" s="11">
        <f>H510-G510</f>
        <v>0.007222299999966708</v>
      </c>
    </row>
    <row r="511" spans="1:9">
      <c r="A511" s="3" t="s">
        <v>169</v>
      </c>
      <c r="B511" s="3" t="s">
        <v>362</v>
      </c>
      <c r="C511" s="3">
        <v>29</v>
      </c>
      <c r="D511" s="3">
        <v>29</v>
      </c>
      <c r="E511" s="8">
        <v>-9.818182</v>
      </c>
      <c r="F511" s="8">
        <v>-9.818</v>
      </c>
      <c r="G511" s="11">
        <v>1817.43754954</v>
      </c>
      <c r="H511" s="11">
        <v>1817.45</v>
      </c>
      <c r="I511" s="11">
        <f>H511-G511</f>
        <v>0.01245046000030925</v>
      </c>
    </row>
    <row r="512" spans="1:9">
      <c r="A512" s="3" t="s">
        <v>169</v>
      </c>
      <c r="B512" s="3" t="s">
        <v>363</v>
      </c>
      <c r="C512" s="3">
        <v>28</v>
      </c>
      <c r="D512" s="3">
        <v>28</v>
      </c>
      <c r="E512" s="8">
        <v>-9.818182</v>
      </c>
      <c r="F512" s="8">
        <v>-9.818</v>
      </c>
      <c r="G512" s="11">
        <v>1984.35264332</v>
      </c>
      <c r="H512" s="11">
        <v>1984.36</v>
      </c>
      <c r="I512" s="11">
        <f>H512-G512</f>
        <v>0.007356680000384586</v>
      </c>
    </row>
    <row r="513" spans="1:9">
      <c r="A513" s="3" t="s">
        <v>169</v>
      </c>
      <c r="B513" s="3" t="s">
        <v>364</v>
      </c>
      <c r="C513" s="3">
        <v>26</v>
      </c>
      <c r="D513" s="3">
        <v>26</v>
      </c>
      <c r="E513" s="8">
        <v>-9.210271000000001</v>
      </c>
      <c r="F513" s="8">
        <v>-9.209999999999999</v>
      </c>
      <c r="G513" s="11">
        <v>1129.19808037</v>
      </c>
      <c r="H513" s="11">
        <v>1129.21</v>
      </c>
      <c r="I513" s="11">
        <f>H513-G513</f>
        <v>0.011919629999965764</v>
      </c>
    </row>
    <row r="514" spans="1:9">
      <c r="A514" s="3" t="s">
        <v>169</v>
      </c>
      <c r="B514" s="3" t="s">
        <v>365</v>
      </c>
      <c r="C514" s="3">
        <v>18</v>
      </c>
      <c r="D514" s="3">
        <v>18</v>
      </c>
      <c r="E514" s="8">
        <v>-6.140181</v>
      </c>
      <c r="F514" s="8">
        <v>-6.139999999999999</v>
      </c>
      <c r="G514" s="11">
        <v>1349.47748119</v>
      </c>
      <c r="H514" s="11">
        <v>1349.48</v>
      </c>
      <c r="I514" s="11">
        <f>H514-G514</f>
        <v>0.002518810000310623</v>
      </c>
    </row>
    <row r="515" spans="1:9">
      <c r="A515" s="3" t="s">
        <v>169</v>
      </c>
      <c r="B515" s="3" t="s">
        <v>366</v>
      </c>
      <c r="C515" s="3">
        <v>28</v>
      </c>
      <c r="D515" s="3">
        <v>28</v>
      </c>
      <c r="E515" s="8">
        <v>-9.818182</v>
      </c>
      <c r="F515" s="8">
        <v>-9.817999999999998</v>
      </c>
      <c r="G515" s="11">
        <v>2973.01631827</v>
      </c>
      <c r="H515" s="11">
        <v>2973.03</v>
      </c>
      <c r="I515" s="11">
        <f>H515-G515</f>
        <v>0.013681730000371317</v>
      </c>
    </row>
    <row r="516" spans="1:9">
      <c r="A516" s="3" t="s">
        <v>169</v>
      </c>
      <c r="B516" s="3" t="s">
        <v>367</v>
      </c>
      <c r="C516" s="3">
        <v>27</v>
      </c>
      <c r="D516" s="3">
        <v>27</v>
      </c>
      <c r="E516" s="8">
        <v>-9.818182</v>
      </c>
      <c r="F516" s="8">
        <v>-9.818000000000001</v>
      </c>
      <c r="G516" s="11">
        <v>3182.45132153</v>
      </c>
      <c r="H516" s="11">
        <v>3182.47</v>
      </c>
      <c r="I516" s="11">
        <f>H516-G516</f>
        <v>0.01867846999948597</v>
      </c>
    </row>
    <row r="517" spans="1:9">
      <c r="A517" s="3" t="s">
        <v>169</v>
      </c>
      <c r="B517" s="3" t="s">
        <v>368</v>
      </c>
      <c r="C517" s="3">
        <v>27</v>
      </c>
      <c r="D517" s="3">
        <v>27</v>
      </c>
      <c r="E517" s="8">
        <v>-9.818182</v>
      </c>
      <c r="F517" s="8">
        <v>-9.818</v>
      </c>
      <c r="G517" s="11">
        <v>5090.401829599999</v>
      </c>
      <c r="H517" s="11">
        <v>5090.41</v>
      </c>
      <c r="I517" s="11">
        <f>H517-G517</f>
        <v>0.00817040000038105</v>
      </c>
    </row>
    <row r="518" spans="1:9">
      <c r="A518" s="3" t="s">
        <v>169</v>
      </c>
      <c r="B518" s="3" t="s">
        <v>369</v>
      </c>
      <c r="C518" s="3">
        <v>28</v>
      </c>
      <c r="D518" s="3">
        <v>28</v>
      </c>
      <c r="E518" s="8">
        <v>-9.818182</v>
      </c>
      <c r="F518" s="8">
        <v>-9.818000000000001</v>
      </c>
      <c r="G518" s="11">
        <v>5494.55753804</v>
      </c>
      <c r="H518" s="11">
        <v>5494.56</v>
      </c>
      <c r="I518" s="11">
        <f>H518-G518</f>
        <v>0.0024619600008009</v>
      </c>
    </row>
    <row r="519" spans="1:9">
      <c r="A519" s="3" t="s">
        <v>169</v>
      </c>
      <c r="B519" s="3" t="s">
        <v>370</v>
      </c>
      <c r="C519" s="3">
        <v>28</v>
      </c>
      <c r="D519" s="3">
        <v>28</v>
      </c>
      <c r="E519" s="8">
        <v>-9.818182</v>
      </c>
      <c r="F519" s="8">
        <v>-9.818</v>
      </c>
      <c r="G519" s="11">
        <v>4650.01705388</v>
      </c>
      <c r="H519" s="11">
        <v>4650.02</v>
      </c>
      <c r="I519" s="11">
        <f>H519-G519</f>
        <v>0.0029461199992510956</v>
      </c>
    </row>
    <row r="520" spans="1:9">
      <c r="A520" s="3" t="s">
        <v>169</v>
      </c>
      <c r="B520" s="3" t="s">
        <v>371</v>
      </c>
      <c r="C520" s="3">
        <v>26</v>
      </c>
      <c r="D520" s="3">
        <v>26</v>
      </c>
      <c r="E520" s="8">
        <v>-9.210271000000001</v>
      </c>
      <c r="F520" s="8">
        <v>-9.210000000000001</v>
      </c>
      <c r="G520" s="11">
        <v>4306.00861448</v>
      </c>
      <c r="H520" s="11">
        <v>4306.02</v>
      </c>
      <c r="I520" s="11">
        <f>H520-G520</f>
        <v>0.011385519999748794</v>
      </c>
    </row>
    <row r="521" spans="1:9">
      <c r="A521" s="3" t="s">
        <v>169</v>
      </c>
      <c r="B521" s="3" t="s">
        <v>372</v>
      </c>
      <c r="C521" s="3">
        <v>28</v>
      </c>
      <c r="D521" s="3">
        <v>28</v>
      </c>
      <c r="E521" s="8">
        <v>-9.818182</v>
      </c>
      <c r="F521" s="8">
        <v>-9.818000000000001</v>
      </c>
      <c r="G521" s="11">
        <v>7803.627700880001</v>
      </c>
      <c r="H521" s="11">
        <v>7803.62</v>
      </c>
      <c r="I521" s="11">
        <f>H521-G521</f>
        <v>-0.007700880000811594</v>
      </c>
    </row>
    <row r="522" spans="1:9">
      <c r="A522" s="3" t="s">
        <v>169</v>
      </c>
      <c r="B522" s="3" t="s">
        <v>373</v>
      </c>
      <c r="C522" s="3">
        <v>28</v>
      </c>
      <c r="D522" s="3">
        <v>28</v>
      </c>
      <c r="E522" s="8">
        <v>-9.818182</v>
      </c>
      <c r="F522" s="8">
        <v>-9.818</v>
      </c>
      <c r="G522" s="11">
        <v>7897.988405600001</v>
      </c>
      <c r="H522" s="11">
        <v>7898</v>
      </c>
      <c r="I522" s="11">
        <f>H522-G522</f>
        <v>0.01159439999901224</v>
      </c>
    </row>
    <row r="523" spans="1:9">
      <c r="A523" s="3" t="s">
        <v>169</v>
      </c>
      <c r="B523" s="3" t="s">
        <v>374</v>
      </c>
      <c r="C523" s="3">
        <v>28</v>
      </c>
      <c r="D523" s="3">
        <v>28</v>
      </c>
      <c r="E523" s="8">
        <v>-9.818182</v>
      </c>
      <c r="F523" s="8">
        <v>-9.818000000000001</v>
      </c>
      <c r="G523" s="11">
        <v>16644.45768398</v>
      </c>
      <c r="H523" s="11">
        <v>16644.47</v>
      </c>
      <c r="I523" s="11">
        <f>H523-G523</f>
        <v>0.012316020001890138</v>
      </c>
    </row>
    <row r="524" spans="1:9">
      <c r="A524" s="3" t="s">
        <v>169</v>
      </c>
      <c r="B524" s="3" t="s">
        <v>375</v>
      </c>
      <c r="C524" s="3">
        <v>27</v>
      </c>
      <c r="D524" s="3">
        <v>27</v>
      </c>
      <c r="E524" s="8">
        <v>-9.818182</v>
      </c>
      <c r="F524" s="8">
        <v>-9.818</v>
      </c>
      <c r="G524" s="11">
        <v>10037.71714847</v>
      </c>
      <c r="H524" s="11">
        <v>10037.72</v>
      </c>
      <c r="I524" s="11">
        <f>H524-G524</f>
        <v>0.002851529998224578</v>
      </c>
    </row>
    <row r="525" spans="1:9">
      <c r="A525" s="3" t="s">
        <v>169</v>
      </c>
      <c r="B525" s="3" t="s">
        <v>376</v>
      </c>
      <c r="C525" s="3">
        <v>28</v>
      </c>
      <c r="D525" s="3">
        <v>28</v>
      </c>
      <c r="E525" s="8">
        <v>-9.818182</v>
      </c>
      <c r="F525" s="8">
        <v>-9.818000000000001</v>
      </c>
      <c r="G525" s="11">
        <v>8490.57667276</v>
      </c>
      <c r="H525" s="11">
        <v>8490.59</v>
      </c>
      <c r="I525" s="11">
        <f>H525-G525</f>
        <v>0.013327239999853191</v>
      </c>
    </row>
    <row r="526" spans="1:9">
      <c r="A526" s="3" t="s">
        <v>169</v>
      </c>
      <c r="B526" s="3" t="s">
        <v>377</v>
      </c>
      <c r="C526" s="3">
        <v>28</v>
      </c>
      <c r="D526" s="3">
        <v>28</v>
      </c>
      <c r="E526" s="8">
        <v>-9.818182</v>
      </c>
      <c r="F526" s="8">
        <v>-9.818</v>
      </c>
      <c r="G526" s="11">
        <v>7834.131106999999</v>
      </c>
      <c r="H526" s="11">
        <v>7834.13</v>
      </c>
      <c r="I526" s="11">
        <f>H526-G526</f>
        <v>-0.00110699999913777</v>
      </c>
    </row>
    <row r="527" spans="1:9">
      <c r="A527" s="3" t="s">
        <v>169</v>
      </c>
      <c r="B527" s="3" t="s">
        <v>378</v>
      </c>
      <c r="C527" s="3">
        <v>28</v>
      </c>
      <c r="D527" s="3">
        <v>28</v>
      </c>
      <c r="E527" s="8">
        <v>-9.818182</v>
      </c>
      <c r="F527" s="8">
        <v>-9.818</v>
      </c>
      <c r="G527" s="11">
        <v>7342.50296996</v>
      </c>
      <c r="H527" s="11">
        <v>7342.5</v>
      </c>
      <c r="I527" s="11">
        <f>H527-G527</f>
        <v>-0.002969959999973071</v>
      </c>
    </row>
    <row r="528" spans="1:9">
      <c r="A528" s="3" t="s">
        <v>169</v>
      </c>
      <c r="B528" s="3" t="s">
        <v>379</v>
      </c>
      <c r="C528" s="3">
        <v>28</v>
      </c>
      <c r="D528" s="3">
        <v>28</v>
      </c>
      <c r="E528" s="8">
        <v>-9.818182</v>
      </c>
      <c r="F528" s="8">
        <v>-9.818</v>
      </c>
      <c r="G528" s="11">
        <v>8935.08987066</v>
      </c>
      <c r="H528" s="11">
        <v>8935.110000000001</v>
      </c>
      <c r="I528" s="11">
        <f>H528-G528</f>
        <v>0.020129340000494267</v>
      </c>
    </row>
    <row r="529" spans="1:9">
      <c r="A529" s="3" t="s">
        <v>169</v>
      </c>
      <c r="B529" s="3" t="s">
        <v>380</v>
      </c>
      <c r="C529" s="3">
        <v>28</v>
      </c>
      <c r="D529" s="3">
        <v>28</v>
      </c>
      <c r="E529" s="8">
        <v>-9.818182</v>
      </c>
      <c r="F529" s="8">
        <v>-9.818</v>
      </c>
      <c r="G529" s="11">
        <v>7369.01857789</v>
      </c>
      <c r="H529" s="11">
        <v>7369.04</v>
      </c>
      <c r="I529" s="11">
        <f>H529-G529</f>
        <v>0.02142210999954841</v>
      </c>
    </row>
    <row r="530" spans="1:9">
      <c r="A530" s="3" t="s">
        <v>169</v>
      </c>
      <c r="B530" s="3" t="s">
        <v>381</v>
      </c>
      <c r="C530" s="3">
        <v>28</v>
      </c>
      <c r="D530" s="3">
        <v>28</v>
      </c>
      <c r="E530" s="8">
        <v>-9.818182</v>
      </c>
      <c r="F530" s="8">
        <v>-9.818</v>
      </c>
      <c r="G530" s="11">
        <v>5649.000814280001</v>
      </c>
      <c r="H530" s="11">
        <v>5649.01</v>
      </c>
      <c r="I530" s="11">
        <f>H530-G530</f>
        <v>0.009185719999550201</v>
      </c>
    </row>
    <row r="531" spans="1:9">
      <c r="A531" s="3" t="s">
        <v>169</v>
      </c>
      <c r="B531" s="3" t="s">
        <v>382</v>
      </c>
      <c r="C531" s="3">
        <v>27</v>
      </c>
      <c r="D531" s="3">
        <v>27</v>
      </c>
      <c r="E531" s="8">
        <v>-9.818182</v>
      </c>
      <c r="F531" s="8">
        <v>-9.818</v>
      </c>
      <c r="G531" s="11">
        <v>8167.32023167</v>
      </c>
      <c r="H531" s="11">
        <v>8167.31</v>
      </c>
      <c r="I531" s="11">
        <f>H531-G531</f>
        <v>-0.010231669999484438</v>
      </c>
    </row>
    <row r="532" spans="1:9">
      <c r="A532" s="3" t="s">
        <v>169</v>
      </c>
      <c r="B532" s="3" t="s">
        <v>383</v>
      </c>
      <c r="C532" s="3">
        <v>28</v>
      </c>
      <c r="D532" s="3">
        <v>28</v>
      </c>
      <c r="E532" s="8">
        <v>-9.818182</v>
      </c>
      <c r="F532" s="8">
        <v>-9.818</v>
      </c>
      <c r="G532" s="11">
        <v>5484.014590610001</v>
      </c>
      <c r="H532" s="11">
        <v>5484.03</v>
      </c>
      <c r="I532" s="11">
        <f>H532-G532</f>
        <v>0.015409389999149425</v>
      </c>
    </row>
    <row r="533" spans="1:9">
      <c r="A533" s="3" t="s">
        <v>169</v>
      </c>
      <c r="B533" s="3" t="s">
        <v>384</v>
      </c>
      <c r="C533" s="3">
        <v>28</v>
      </c>
      <c r="D533" s="3">
        <v>28</v>
      </c>
      <c r="E533" s="8">
        <v>-9.818182</v>
      </c>
      <c r="F533" s="8">
        <v>-9.818</v>
      </c>
      <c r="G533" s="11">
        <v>1378.67461326</v>
      </c>
      <c r="H533" s="11">
        <v>1378.69</v>
      </c>
      <c r="I533" s="11">
        <f>H533-G533</f>
        <v>0.015386740000167265</v>
      </c>
    </row>
    <row r="534" spans="1:9">
      <c r="A534" s="3" t="s">
        <v>169</v>
      </c>
      <c r="B534" s="3" t="s">
        <v>385</v>
      </c>
      <c r="C534" s="3">
        <v>19</v>
      </c>
      <c r="D534" s="3">
        <v>19</v>
      </c>
      <c r="E534" s="8">
        <v>-6.860180000000001</v>
      </c>
      <c r="F534" s="8">
        <v>-6.859999999999999</v>
      </c>
      <c r="G534" s="11">
        <v>5008.77220268</v>
      </c>
      <c r="H534" s="11">
        <v>5008.79</v>
      </c>
      <c r="I534" s="11">
        <f>H534-G534</f>
        <v>0.0177973199997723</v>
      </c>
    </row>
    <row r="535" spans="1:9">
      <c r="A535" s="3" t="s">
        <v>169</v>
      </c>
      <c r="B535" s="3" t="s">
        <v>386</v>
      </c>
      <c r="C535" s="3">
        <v>28</v>
      </c>
      <c r="D535" s="3">
        <v>28</v>
      </c>
      <c r="E535" s="8">
        <v>-9.818182</v>
      </c>
      <c r="F535" s="8">
        <v>-9.818</v>
      </c>
      <c r="G535" s="11">
        <v>6934.34892624</v>
      </c>
      <c r="H535" s="11">
        <v>6934.36</v>
      </c>
      <c r="I535" s="11">
        <f>H535-G535</f>
        <v>0.011073759999817412</v>
      </c>
    </row>
    <row r="536" spans="1:9">
      <c r="A536" s="3" t="s">
        <v>169</v>
      </c>
      <c r="B536" s="3" t="s">
        <v>387</v>
      </c>
      <c r="C536" s="3">
        <v>27</v>
      </c>
      <c r="D536" s="3">
        <v>27</v>
      </c>
      <c r="E536" s="8">
        <v>-9.818182</v>
      </c>
      <c r="F536" s="8">
        <v>-9.818</v>
      </c>
      <c r="G536" s="11">
        <v>5817.50147704</v>
      </c>
      <c r="H536" s="11">
        <v>5817.51</v>
      </c>
      <c r="I536" s="11">
        <f>H536-G536</f>
        <v>0.008522959999936575</v>
      </c>
    </row>
    <row r="537" spans="1:9">
      <c r="A537" s="3" t="s">
        <v>169</v>
      </c>
      <c r="B537" s="3" t="s">
        <v>388</v>
      </c>
      <c r="C537" s="3">
        <v>28</v>
      </c>
      <c r="D537" s="3">
        <v>28</v>
      </c>
      <c r="E537" s="8">
        <v>-9.818182</v>
      </c>
      <c r="F537" s="8">
        <v>-9.818</v>
      </c>
      <c r="G537" s="11">
        <v>8502.41224806</v>
      </c>
      <c r="H537" s="11">
        <v>8502.42</v>
      </c>
      <c r="I537" s="11">
        <f>H537-G537</f>
        <v>0.007751940000161994</v>
      </c>
    </row>
    <row r="538" spans="1:9">
      <c r="A538" s="3" t="s">
        <v>169</v>
      </c>
      <c r="B538" s="3" t="s">
        <v>389</v>
      </c>
      <c r="C538" s="3">
        <v>27</v>
      </c>
      <c r="D538" s="3">
        <v>27</v>
      </c>
      <c r="E538" s="8">
        <v>-9.818182</v>
      </c>
      <c r="F538" s="8">
        <v>-9.818000000000001</v>
      </c>
      <c r="G538" s="11">
        <v>10272.6416256</v>
      </c>
      <c r="H538" s="11">
        <v>10272.64</v>
      </c>
      <c r="I538" s="11">
        <f>H538-G538</f>
        <v>-0.0016255999998975312</v>
      </c>
    </row>
    <row r="539" spans="1:9">
      <c r="A539" s="3" t="s">
        <v>169</v>
      </c>
      <c r="B539" s="3" t="s">
        <v>390</v>
      </c>
      <c r="C539" s="3">
        <v>28</v>
      </c>
      <c r="D539" s="3">
        <v>28</v>
      </c>
      <c r="E539" s="8">
        <v>-9.818182</v>
      </c>
      <c r="F539" s="8">
        <v>-9.818000000000001</v>
      </c>
      <c r="G539" s="11">
        <v>8047.86947844</v>
      </c>
      <c r="H539" s="11">
        <v>8047.89</v>
      </c>
      <c r="I539" s="11">
        <f>H539-G539</f>
        <v>0.020521560000815953</v>
      </c>
    </row>
    <row r="540" spans="1:9">
      <c r="A540" s="3" t="s">
        <v>169</v>
      </c>
      <c r="B540" s="3" t="s">
        <v>391</v>
      </c>
      <c r="C540" s="3">
        <v>26</v>
      </c>
      <c r="D540" s="3">
        <v>26</v>
      </c>
      <c r="E540" s="8">
        <v>-9.210271000000001</v>
      </c>
      <c r="F540" s="8">
        <v>-9.210000000000001</v>
      </c>
      <c r="G540" s="11">
        <v>6904.47374331</v>
      </c>
      <c r="H540" s="11">
        <v>6904.49</v>
      </c>
      <c r="I540" s="11">
        <f>H540-G540</f>
        <v>0.016256689999863738</v>
      </c>
    </row>
    <row r="541" spans="1:9">
      <c r="A541" s="3" t="s">
        <v>169</v>
      </c>
      <c r="B541" s="3" t="s">
        <v>392</v>
      </c>
      <c r="C541" s="3">
        <v>25</v>
      </c>
      <c r="D541" s="3">
        <v>25</v>
      </c>
      <c r="E541" s="8">
        <v>-9.02018</v>
      </c>
      <c r="F541" s="8">
        <v>-9.02</v>
      </c>
      <c r="G541" s="11">
        <v>7255.554986679999</v>
      </c>
      <c r="H541" s="11">
        <v>7255.55</v>
      </c>
      <c r="I541" s="11">
        <f>H541-G541</f>
        <v>-0.004986679999092303</v>
      </c>
    </row>
    <row r="542" spans="1:9">
      <c r="A542" s="3" t="s">
        <v>169</v>
      </c>
      <c r="B542" s="3" t="s">
        <v>393</v>
      </c>
      <c r="C542" s="3">
        <v>28</v>
      </c>
      <c r="D542" s="3">
        <v>28</v>
      </c>
      <c r="E542" s="8">
        <v>-9.818182</v>
      </c>
      <c r="F542" s="8">
        <v>-9.818</v>
      </c>
      <c r="G542" s="11">
        <v>9852.54969982</v>
      </c>
      <c r="H542" s="11">
        <v>9852.559999999999</v>
      </c>
      <c r="I542" s="11">
        <f>H542-G542</f>
        <v>0.010300179999831016</v>
      </c>
    </row>
    <row r="543" spans="1:9">
      <c r="A543" s="3" t="s">
        <v>169</v>
      </c>
      <c r="B543" s="3" t="s">
        <v>394</v>
      </c>
      <c r="C543" s="3">
        <v>28</v>
      </c>
      <c r="D543" s="3">
        <v>28</v>
      </c>
      <c r="E543" s="8">
        <v>-9.818182</v>
      </c>
      <c r="F543" s="8">
        <v>-9.818</v>
      </c>
      <c r="G543" s="11">
        <v>8294.034733209999</v>
      </c>
      <c r="H543" s="11">
        <v>8294.030000000001</v>
      </c>
      <c r="I543" s="11">
        <f>H543-G543</f>
        <v>-0.004733209998448729</v>
      </c>
    </row>
    <row r="544" spans="1:9">
      <c r="A544" s="3" t="s">
        <v>169</v>
      </c>
      <c r="B544" s="3" t="s">
        <v>395</v>
      </c>
      <c r="C544" s="3">
        <v>28</v>
      </c>
      <c r="D544" s="3">
        <v>28</v>
      </c>
      <c r="E544" s="8">
        <v>-9.818182</v>
      </c>
      <c r="F544" s="8">
        <v>-9.818</v>
      </c>
      <c r="G544" s="11">
        <v>4388.80183072</v>
      </c>
      <c r="H544" s="11">
        <v>4388.8</v>
      </c>
      <c r="I544" s="11">
        <f>H544-G544</f>
        <v>-0.0018307199998162105</v>
      </c>
    </row>
    <row r="545" spans="1:9">
      <c r="A545" s="3" t="s">
        <v>169</v>
      </c>
      <c r="B545" s="3" t="s">
        <v>396</v>
      </c>
      <c r="C545" s="3">
        <v>28</v>
      </c>
      <c r="D545" s="3">
        <v>28</v>
      </c>
      <c r="E545" s="8">
        <v>-9.818182</v>
      </c>
      <c r="F545" s="8">
        <v>-9.818</v>
      </c>
      <c r="G545" s="11">
        <v>7601.29945943</v>
      </c>
      <c r="H545" s="11">
        <v>7601.31</v>
      </c>
      <c r="I545" s="11">
        <f>H545-G545</f>
        <v>0.010540570000557636</v>
      </c>
    </row>
    <row r="546" spans="1:9">
      <c r="A546" s="3" t="s">
        <v>169</v>
      </c>
      <c r="B546" s="3" t="s">
        <v>397</v>
      </c>
      <c r="C546" s="3">
        <v>28</v>
      </c>
      <c r="D546" s="3">
        <v>28</v>
      </c>
      <c r="E546" s="8">
        <v>-9.818182</v>
      </c>
      <c r="F546" s="8">
        <v>-9.818000000000001</v>
      </c>
      <c r="G546" s="11">
        <v>6119.66682052</v>
      </c>
      <c r="H546" s="11">
        <v>6119.670000000001</v>
      </c>
      <c r="I546" s="11">
        <f>H546-G546</f>
        <v>0.0031794800006537116</v>
      </c>
    </row>
    <row r="547" spans="1:9">
      <c r="A547" s="3" t="s">
        <v>169</v>
      </c>
      <c r="B547" s="3" t="s">
        <v>398</v>
      </c>
      <c r="C547" s="3">
        <v>24</v>
      </c>
      <c r="D547" s="3">
        <v>24</v>
      </c>
      <c r="E547" s="8">
        <v>-8.797363000000001</v>
      </c>
      <c r="F547" s="8">
        <v>-8.797000000000001</v>
      </c>
      <c r="G547" s="11">
        <v>5294.49862527</v>
      </c>
      <c r="H547" s="11">
        <v>5294.52</v>
      </c>
      <c r="I547" s="11">
        <f>H547-G547</f>
        <v>0.02137473000038881</v>
      </c>
    </row>
    <row r="548" spans="1:9">
      <c r="A548" s="3" t="s">
        <v>169</v>
      </c>
      <c r="B548" s="3" t="s">
        <v>399</v>
      </c>
      <c r="C548" s="3">
        <v>21</v>
      </c>
      <c r="D548" s="3">
        <v>21</v>
      </c>
      <c r="E548" s="8">
        <v>-7.58018</v>
      </c>
      <c r="F548" s="8">
        <v>-7.579999999999999</v>
      </c>
      <c r="G548" s="11">
        <v>5228.61536992</v>
      </c>
      <c r="H548" s="11">
        <v>5228.61</v>
      </c>
      <c r="I548" s="11">
        <f>H548-G548</f>
        <v>-0.005369920000703132</v>
      </c>
    </row>
    <row r="549" spans="1:9">
      <c r="A549" s="3" t="s">
        <v>169</v>
      </c>
      <c r="B549" s="3" t="s">
        <v>400</v>
      </c>
      <c r="C549" s="3">
        <v>28</v>
      </c>
      <c r="D549" s="3">
        <v>28</v>
      </c>
      <c r="E549" s="8">
        <v>-9.818182</v>
      </c>
      <c r="F549" s="8">
        <v>-9.818</v>
      </c>
      <c r="G549" s="11">
        <v>6646.33014546</v>
      </c>
      <c r="H549" s="11">
        <v>6646.33</v>
      </c>
      <c r="I549" s="11">
        <f>H549-G549</f>
        <v>-0.0001454600005672546</v>
      </c>
    </row>
    <row r="550" spans="1:9">
      <c r="A550" s="3" t="s">
        <v>169</v>
      </c>
      <c r="B550" s="3" t="s">
        <v>401</v>
      </c>
      <c r="C550" s="3">
        <v>27</v>
      </c>
      <c r="D550" s="3">
        <v>27</v>
      </c>
      <c r="E550" s="8">
        <v>-9.818182</v>
      </c>
      <c r="F550" s="8">
        <v>-9.818</v>
      </c>
      <c r="G550" s="11">
        <v>6158.59772599</v>
      </c>
      <c r="H550" s="11">
        <v>6158.610000000001</v>
      </c>
      <c r="I550" s="11">
        <f>H550-G550</f>
        <v>0.012274010000510316</v>
      </c>
    </row>
    <row r="551" spans="1:9">
      <c r="A551" s="3" t="s">
        <v>169</v>
      </c>
      <c r="B551" s="3" t="s">
        <v>402</v>
      </c>
      <c r="C551" s="3">
        <v>28</v>
      </c>
      <c r="D551" s="3">
        <v>28</v>
      </c>
      <c r="E551" s="8">
        <v>-9.818182</v>
      </c>
      <c r="F551" s="8">
        <v>-9.817999999999998</v>
      </c>
      <c r="G551" s="11">
        <v>6736.01344543</v>
      </c>
      <c r="H551" s="11">
        <v>6736.02</v>
      </c>
      <c r="I551" s="11">
        <f>H551-G551</f>
        <v>0.006554569999934756</v>
      </c>
    </row>
    <row r="552" spans="1:9">
      <c r="A552" s="3" t="s">
        <v>169</v>
      </c>
      <c r="B552" s="3" t="s">
        <v>403</v>
      </c>
      <c r="C552" s="3">
        <v>28</v>
      </c>
      <c r="D552" s="3">
        <v>28</v>
      </c>
      <c r="E552" s="8">
        <v>-9.818182</v>
      </c>
      <c r="F552" s="8">
        <v>-9.818000000000001</v>
      </c>
      <c r="G552" s="11">
        <v>5532.13934398</v>
      </c>
      <c r="H552" s="11">
        <v>5532.15</v>
      </c>
      <c r="I552" s="11">
        <f>H552-G552</f>
        <v>0.010656019999260025</v>
      </c>
    </row>
    <row r="553" spans="1:9">
      <c r="A553" s="3" t="s">
        <v>169</v>
      </c>
      <c r="B553" s="3" t="s">
        <v>404</v>
      </c>
      <c r="C553" s="3">
        <v>30</v>
      </c>
      <c r="D553" s="3">
        <v>30</v>
      </c>
      <c r="E553" s="8">
        <v>-9.818182</v>
      </c>
      <c r="F553" s="8">
        <v>-9.818</v>
      </c>
      <c r="G553" s="11">
        <v>5240.77297763</v>
      </c>
      <c r="H553" s="11">
        <v>5240.78</v>
      </c>
      <c r="I553" s="11">
        <f>H553-G553</f>
        <v>0.007022369999504008</v>
      </c>
    </row>
    <row r="554" spans="1:9">
      <c r="A554" s="3" t="s">
        <v>169</v>
      </c>
      <c r="B554" s="3" t="s">
        <v>405</v>
      </c>
      <c r="C554" s="3">
        <v>30</v>
      </c>
      <c r="D554" s="3">
        <v>30</v>
      </c>
      <c r="E554" s="8">
        <v>-9.818182</v>
      </c>
      <c r="F554" s="8">
        <v>-9.817</v>
      </c>
      <c r="G554" s="11">
        <v>5535.78591568</v>
      </c>
      <c r="H554" s="11">
        <v>5535.82</v>
      </c>
      <c r="I554" s="11">
        <f>H554-G554</f>
        <v>0.03408432000014727</v>
      </c>
    </row>
    <row r="555" spans="1:9">
      <c r="A555" s="3" t="s">
        <v>169</v>
      </c>
      <c r="B555" s="3" t="s">
        <v>406</v>
      </c>
      <c r="C555" s="3">
        <v>28</v>
      </c>
      <c r="D555" s="3">
        <v>28</v>
      </c>
      <c r="E555" s="8">
        <v>-9.818182</v>
      </c>
      <c r="F555" s="8">
        <v>-9.818</v>
      </c>
      <c r="G555" s="11">
        <v>5674.30855448</v>
      </c>
      <c r="H555" s="11">
        <v>5674.3</v>
      </c>
      <c r="I555" s="11">
        <f>H555-G555</f>
        <v>-0.008554479999475006</v>
      </c>
    </row>
    <row r="556" spans="1:9">
      <c r="A556" s="3" t="s">
        <v>169</v>
      </c>
      <c r="B556" s="3" t="s">
        <v>407</v>
      </c>
      <c r="C556" s="3">
        <v>28</v>
      </c>
      <c r="D556" s="3">
        <v>28</v>
      </c>
      <c r="E556" s="8">
        <v>-9.818182</v>
      </c>
      <c r="F556" s="8">
        <v>-9.818</v>
      </c>
      <c r="G556" s="11">
        <v>8356.74382582</v>
      </c>
      <c r="H556" s="11">
        <v>8356.73</v>
      </c>
      <c r="I556" s="11">
        <f>H556-G556</f>
        <v>-0.013825820000420208</v>
      </c>
    </row>
    <row r="557" spans="1:9">
      <c r="A557" s="3" t="s">
        <v>169</v>
      </c>
      <c r="B557" s="3" t="s">
        <v>408</v>
      </c>
      <c r="C557" s="3">
        <v>28</v>
      </c>
      <c r="D557" s="3">
        <v>28</v>
      </c>
      <c r="E557" s="8">
        <v>-9.818182</v>
      </c>
      <c r="F557" s="8">
        <v>-9.817999999999998</v>
      </c>
      <c r="G557" s="11">
        <v>10713.86467566</v>
      </c>
      <c r="H557" s="11">
        <v>10713.87</v>
      </c>
      <c r="I557" s="11">
        <f>H557-G557</f>
        <v>0.005324339999788208</v>
      </c>
    </row>
    <row r="558" spans="1:9">
      <c r="A558" s="3" t="s">
        <v>169</v>
      </c>
      <c r="B558" s="3" t="s">
        <v>409</v>
      </c>
      <c r="C558" s="3">
        <v>27</v>
      </c>
      <c r="D558" s="3">
        <v>27</v>
      </c>
      <c r="E558" s="8">
        <v>-9.818182</v>
      </c>
      <c r="F558" s="8">
        <v>-9.818</v>
      </c>
      <c r="G558" s="11">
        <v>10709.33384583</v>
      </c>
      <c r="H558" s="11">
        <v>10709.33</v>
      </c>
      <c r="I558" s="11">
        <f>H558-G558</f>
        <v>-0.0038458300005004276</v>
      </c>
    </row>
    <row r="559" spans="1:9">
      <c r="A559" s="3" t="s">
        <v>169</v>
      </c>
      <c r="B559" s="3" t="s">
        <v>410</v>
      </c>
      <c r="C559" s="3">
        <v>28</v>
      </c>
      <c r="D559" s="3">
        <v>28</v>
      </c>
      <c r="E559" s="8">
        <v>-9.818182</v>
      </c>
      <c r="F559" s="8">
        <v>-9.818000000000001</v>
      </c>
      <c r="G559" s="11">
        <v>7917.3199666</v>
      </c>
      <c r="H559" s="11">
        <v>7917.31</v>
      </c>
      <c r="I559" s="11">
        <f>H559-G559</f>
        <v>-0.009966599999643222</v>
      </c>
    </row>
    <row r="560" spans="1:9">
      <c r="A560" s="3" t="s">
        <v>169</v>
      </c>
      <c r="B560" s="3" t="s">
        <v>411</v>
      </c>
      <c r="C560" s="3">
        <v>28</v>
      </c>
      <c r="D560" s="3">
        <v>28</v>
      </c>
      <c r="E560" s="8">
        <v>-9.818182</v>
      </c>
      <c r="F560" s="8">
        <v>-9.818</v>
      </c>
      <c r="G560" s="11">
        <v>5719.8277034</v>
      </c>
      <c r="H560" s="11">
        <v>5719.84</v>
      </c>
      <c r="I560" s="11">
        <f>H560-G560</f>
        <v>0.012296599999899627</v>
      </c>
    </row>
    <row r="561" spans="1:9">
      <c r="A561" s="3" t="s">
        <v>169</v>
      </c>
      <c r="B561" s="3" t="s">
        <v>412</v>
      </c>
      <c r="C561" s="3">
        <v>27</v>
      </c>
      <c r="D561" s="3">
        <v>27</v>
      </c>
      <c r="E561" s="8">
        <v>-9.740180000000001</v>
      </c>
      <c r="F561" s="8">
        <v>-9.74</v>
      </c>
      <c r="G561" s="11">
        <v>7808.3182132</v>
      </c>
      <c r="H561" s="11">
        <v>7808.32</v>
      </c>
      <c r="I561" s="11">
        <f>H561-G561</f>
        <v>0.001786799999536015</v>
      </c>
    </row>
    <row r="562" spans="1:9">
      <c r="A562" s="3" t="s">
        <v>169</v>
      </c>
      <c r="B562" s="3" t="s">
        <v>413</v>
      </c>
      <c r="C562" s="3">
        <v>23</v>
      </c>
      <c r="D562" s="3">
        <v>23</v>
      </c>
      <c r="E562" s="8">
        <v>-8.300180000000001</v>
      </c>
      <c r="F562" s="8">
        <v>-8.300000000000001</v>
      </c>
      <c r="G562" s="11">
        <v>5151.88028492</v>
      </c>
      <c r="H562" s="11">
        <v>5151.88</v>
      </c>
      <c r="I562" s="11">
        <f>H562-G562</f>
        <v>-0.0002849200000127894</v>
      </c>
    </row>
    <row r="563" spans="1:9">
      <c r="A563" s="3" t="s">
        <v>169</v>
      </c>
      <c r="B563" s="3" t="s">
        <v>414</v>
      </c>
      <c r="C563" s="3">
        <v>28</v>
      </c>
      <c r="D563" s="3">
        <v>28</v>
      </c>
      <c r="E563" s="8">
        <v>-9.818182</v>
      </c>
      <c r="F563" s="8">
        <v>-9.818</v>
      </c>
      <c r="G563" s="11">
        <v>2322.53244368</v>
      </c>
      <c r="H563" s="11">
        <v>2322.55</v>
      </c>
      <c r="I563" s="11">
        <f>H563-G563</f>
        <v>0.017556320000039705</v>
      </c>
    </row>
    <row r="564" spans="1:9">
      <c r="A564" s="3" t="s">
        <v>169</v>
      </c>
      <c r="B564" s="3" t="s">
        <v>415</v>
      </c>
      <c r="C564" s="3">
        <v>27</v>
      </c>
      <c r="D564" s="3">
        <v>27</v>
      </c>
      <c r="E564" s="8">
        <v>-9.818182</v>
      </c>
      <c r="F564" s="8">
        <v>-9.818</v>
      </c>
      <c r="G564" s="11">
        <v>5583.24975783</v>
      </c>
      <c r="H564" s="11">
        <v>5583.26</v>
      </c>
      <c r="I564" s="11">
        <f>H564-G564</f>
        <v>0.01024217000031058</v>
      </c>
    </row>
    <row r="565" spans="1:9">
      <c r="A565" s="3" t="s">
        <v>169</v>
      </c>
      <c r="B565" s="3" t="s">
        <v>416</v>
      </c>
      <c r="C565" s="3">
        <v>28</v>
      </c>
      <c r="D565" s="3">
        <v>28</v>
      </c>
      <c r="E565" s="8">
        <v>-9.818182</v>
      </c>
      <c r="F565" s="8">
        <v>-9.818000000000001</v>
      </c>
      <c r="G565" s="11">
        <v>6216.2759237</v>
      </c>
      <c r="H565" s="11">
        <v>6216.28</v>
      </c>
      <c r="I565" s="11">
        <f>H565-G565</f>
        <v>0.004076299999724142</v>
      </c>
    </row>
    <row r="566" spans="1:9">
      <c r="A566" s="3" t="s">
        <v>169</v>
      </c>
      <c r="B566" s="3" t="s">
        <v>417</v>
      </c>
      <c r="C566" s="3">
        <v>27</v>
      </c>
      <c r="D566" s="3">
        <v>27</v>
      </c>
      <c r="E566" s="8">
        <v>-9.818182</v>
      </c>
      <c r="F566" s="8">
        <v>-9.818</v>
      </c>
      <c r="G566" s="11">
        <v>6280.95868458</v>
      </c>
      <c r="H566" s="11">
        <v>6280.96</v>
      </c>
      <c r="I566" s="11">
        <f>H566-G566</f>
        <v>0.0013154199996279203</v>
      </c>
    </row>
    <row r="567" spans="1:9">
      <c r="A567" s="3" t="s">
        <v>169</v>
      </c>
      <c r="B567" s="3" t="s">
        <v>418</v>
      </c>
      <c r="C567" s="3">
        <v>28</v>
      </c>
      <c r="D567" s="3">
        <v>28</v>
      </c>
      <c r="E567" s="8">
        <v>-9.818182</v>
      </c>
      <c r="F567" s="8">
        <v>-9.817999999999998</v>
      </c>
      <c r="G567" s="11">
        <v>6610.71798909</v>
      </c>
      <c r="H567" s="11">
        <v>6610.72</v>
      </c>
      <c r="I567" s="11">
        <f>H567-G567</f>
        <v>0.0020109100005356595</v>
      </c>
    </row>
    <row r="568" spans="1:9">
      <c r="A568" s="3" t="s">
        <v>169</v>
      </c>
      <c r="B568" s="3" t="s">
        <v>419</v>
      </c>
      <c r="C568" s="3">
        <v>30</v>
      </c>
      <c r="D568" s="3">
        <v>30</v>
      </c>
      <c r="E568" s="8">
        <v>-9.609272000000001</v>
      </c>
      <c r="F568" s="8">
        <v>-9.608000000000001</v>
      </c>
      <c r="G568" s="11">
        <v>6087.263186239999</v>
      </c>
      <c r="H568" s="11">
        <v>6087.26</v>
      </c>
      <c r="I568" s="11">
        <f>H568-G568</f>
        <v>-0.003186239999195095</v>
      </c>
    </row>
    <row r="569" spans="1:9">
      <c r="A569" s="3" t="s">
        <v>169</v>
      </c>
      <c r="B569" s="3" t="s">
        <v>420</v>
      </c>
      <c r="C569" s="3">
        <v>21</v>
      </c>
      <c r="D569" s="3">
        <v>21</v>
      </c>
      <c r="E569" s="8">
        <v>-7.187453000000001</v>
      </c>
      <c r="F569" s="8">
        <v>-7.186999999999999</v>
      </c>
      <c r="G569" s="11">
        <v>5325.10199092</v>
      </c>
      <c r="H569" s="11">
        <v>5325.14</v>
      </c>
      <c r="I569" s="11">
        <f>H569-G569</f>
        <v>0.03800907999993797</v>
      </c>
    </row>
    <row r="570" spans="1:9">
      <c r="A570" s="3" t="s">
        <v>169</v>
      </c>
      <c r="B570" s="3" t="s">
        <v>421</v>
      </c>
      <c r="C570" s="3">
        <v>28</v>
      </c>
      <c r="D570" s="3">
        <v>28</v>
      </c>
      <c r="E570" s="8">
        <v>-9.818182</v>
      </c>
      <c r="F570" s="8">
        <v>-9.818000000000001</v>
      </c>
      <c r="G570" s="11">
        <v>4981.04312756</v>
      </c>
      <c r="H570" s="11">
        <v>4981.06</v>
      </c>
      <c r="I570" s="11">
        <f>H570-G570</f>
        <v>0.016872440000042843</v>
      </c>
    </row>
    <row r="571" spans="1:9">
      <c r="A571" s="3" t="s">
        <v>169</v>
      </c>
      <c r="B571" s="3" t="s">
        <v>422</v>
      </c>
      <c r="C571" s="3">
        <v>28</v>
      </c>
      <c r="D571" s="3">
        <v>28</v>
      </c>
      <c r="E571" s="8">
        <v>-9.818182</v>
      </c>
      <c r="F571" s="8">
        <v>-9.818000000000001</v>
      </c>
      <c r="G571" s="11">
        <v>7121.38427348</v>
      </c>
      <c r="H571" s="11">
        <v>7121.379999999999</v>
      </c>
      <c r="I571" s="11">
        <f>H571-G571</f>
        <v>-0.004273480000847485</v>
      </c>
    </row>
    <row r="572" spans="1:9">
      <c r="A572" s="3" t="s">
        <v>169</v>
      </c>
      <c r="B572" s="3" t="s">
        <v>423</v>
      </c>
      <c r="C572" s="3">
        <v>29</v>
      </c>
      <c r="D572" s="3">
        <v>29</v>
      </c>
      <c r="E572" s="8">
        <v>-9.818182</v>
      </c>
      <c r="F572" s="8">
        <v>-9.818000000000001</v>
      </c>
      <c r="G572" s="11">
        <v>8670.074632869999</v>
      </c>
      <c r="H572" s="11">
        <v>8670.049999999999</v>
      </c>
      <c r="I572" s="11">
        <f>H572-G572</f>
        <v>-0.024632869999550167</v>
      </c>
    </row>
    <row r="573" spans="1:9">
      <c r="A573" s="3" t="s">
        <v>169</v>
      </c>
      <c r="B573" s="3" t="s">
        <v>424</v>
      </c>
      <c r="C573" s="3">
        <v>27</v>
      </c>
      <c r="D573" s="3">
        <v>27</v>
      </c>
      <c r="E573" s="8">
        <v>-9.818182</v>
      </c>
      <c r="F573" s="8">
        <v>-9.818000000000001</v>
      </c>
      <c r="G573" s="11">
        <v>8866.255718730001</v>
      </c>
      <c r="H573" s="11">
        <v>8866.25</v>
      </c>
      <c r="I573" s="11">
        <f>H573-G573</f>
        <v>-0.0057187300008081365</v>
      </c>
    </row>
    <row r="574" spans="1:9">
      <c r="A574" s="3" t="s">
        <v>169</v>
      </c>
      <c r="B574" s="3" t="s">
        <v>425</v>
      </c>
      <c r="C574" s="3">
        <v>28</v>
      </c>
      <c r="D574" s="3">
        <v>28</v>
      </c>
      <c r="E574" s="8">
        <v>-9.818182</v>
      </c>
      <c r="F574" s="8">
        <v>-9.818000000000001</v>
      </c>
      <c r="G574" s="11">
        <v>8503.71636154</v>
      </c>
      <c r="H574" s="11">
        <v>8503.719999999999</v>
      </c>
      <c r="I574" s="11">
        <f>H574-G574</f>
        <v>0.003638459998910548</v>
      </c>
    </row>
    <row r="575" spans="1:9">
      <c r="A575" s="3" t="s">
        <v>169</v>
      </c>
      <c r="B575" s="3" t="s">
        <v>426</v>
      </c>
      <c r="C575" s="3">
        <v>21</v>
      </c>
      <c r="D575" s="3">
        <v>21</v>
      </c>
      <c r="E575" s="8">
        <v>-7.58018</v>
      </c>
      <c r="F575" s="8">
        <v>-7.579999999999999</v>
      </c>
      <c r="G575" s="11">
        <v>12626.02331876</v>
      </c>
      <c r="H575" s="11">
        <v>12626.01</v>
      </c>
      <c r="I575" s="11">
        <f>H575-G575</f>
        <v>-0.013318759998583118</v>
      </c>
    </row>
    <row r="576" spans="1:9">
      <c r="A576" s="3" t="s">
        <v>169</v>
      </c>
      <c r="B576" s="3" t="s">
        <v>427</v>
      </c>
      <c r="C576" s="3">
        <v>21</v>
      </c>
      <c r="D576" s="3">
        <v>21</v>
      </c>
      <c r="E576" s="8">
        <v>-7.58018</v>
      </c>
      <c r="F576" s="8">
        <v>-7.58</v>
      </c>
      <c r="G576" s="11">
        <v>24607.55918556</v>
      </c>
      <c r="H576" s="11">
        <v>24607.52</v>
      </c>
      <c r="I576" s="11">
        <f>H576-G576</f>
        <v>-0.03918555999916862</v>
      </c>
    </row>
    <row r="577" spans="1:9">
      <c r="A577" s="3" t="s">
        <v>169</v>
      </c>
      <c r="B577" s="3" t="s">
        <v>428</v>
      </c>
      <c r="C577" s="3">
        <v>27</v>
      </c>
      <c r="D577" s="3">
        <v>27</v>
      </c>
      <c r="E577" s="8">
        <v>-9.818182</v>
      </c>
      <c r="F577" s="8">
        <v>-9.818</v>
      </c>
      <c r="G577" s="11">
        <v>9735.899035370001</v>
      </c>
      <c r="H577" s="11">
        <v>9735.9</v>
      </c>
      <c r="I577" s="11">
        <f>H577-G577</f>
        <v>0.0009646299986343365</v>
      </c>
    </row>
    <row r="578" spans="1:9">
      <c r="A578" s="3" t="s">
        <v>169</v>
      </c>
      <c r="B578" s="3" t="s">
        <v>429</v>
      </c>
      <c r="C578" s="3">
        <v>28</v>
      </c>
      <c r="D578" s="3">
        <v>28</v>
      </c>
      <c r="E578" s="8">
        <v>-9.818182</v>
      </c>
      <c r="F578" s="8">
        <v>-9.818</v>
      </c>
      <c r="G578" s="11">
        <v>7157.71769796</v>
      </c>
      <c r="H578" s="11">
        <v>7157.71</v>
      </c>
      <c r="I578" s="11">
        <f>H578-G578</f>
        <v>-0.0076979599998594495</v>
      </c>
    </row>
    <row r="579" spans="1:9">
      <c r="A579" s="3" t="s">
        <v>169</v>
      </c>
      <c r="B579" s="3" t="s">
        <v>430</v>
      </c>
      <c r="C579" s="3">
        <v>27</v>
      </c>
      <c r="D579" s="3">
        <v>27</v>
      </c>
      <c r="E579" s="8">
        <v>-9.818182</v>
      </c>
      <c r="F579" s="8">
        <v>-9.818</v>
      </c>
      <c r="G579" s="11">
        <v>10119.13295922</v>
      </c>
      <c r="H579" s="11">
        <v>10119.13</v>
      </c>
      <c r="I579" s="11">
        <f>H579-G579</f>
        <v>-0.0029592199989565415</v>
      </c>
    </row>
    <row r="580" spans="1:9">
      <c r="A580" s="3" t="s">
        <v>169</v>
      </c>
      <c r="B580" s="3" t="s">
        <v>431</v>
      </c>
      <c r="C580" s="3">
        <v>27</v>
      </c>
      <c r="D580" s="3">
        <v>27</v>
      </c>
      <c r="E580" s="8">
        <v>-9.818182</v>
      </c>
      <c r="F580" s="8">
        <v>-9.818000000000001</v>
      </c>
      <c r="G580" s="11">
        <v>9946.523547069999</v>
      </c>
      <c r="H580" s="11">
        <v>9946.52</v>
      </c>
      <c r="I580" s="11">
        <f>H580-G580</f>
        <v>-0.003547069998603547</v>
      </c>
    </row>
    <row r="581" spans="1:9">
      <c r="A581" s="3" t="s">
        <v>169</v>
      </c>
      <c r="B581" s="3" t="s">
        <v>432</v>
      </c>
      <c r="C581" s="3">
        <v>28</v>
      </c>
      <c r="D581" s="3">
        <v>28</v>
      </c>
      <c r="E581" s="8">
        <v>-9.818182</v>
      </c>
      <c r="F581" s="8">
        <v>-9.818000000000001</v>
      </c>
      <c r="G581" s="11">
        <v>32006.81648071</v>
      </c>
      <c r="H581" s="11">
        <v>32006.72</v>
      </c>
      <c r="I581" s="11">
        <f>H581-G581</f>
        <v>-0.09648070999901392</v>
      </c>
    </row>
    <row r="582" spans="1:9">
      <c r="A582" s="3" t="s">
        <v>169</v>
      </c>
      <c r="B582" s="3" t="s">
        <v>433</v>
      </c>
      <c r="C582" s="3">
        <v>28</v>
      </c>
      <c r="D582" s="3">
        <v>28</v>
      </c>
      <c r="E582" s="8">
        <v>-9.818182</v>
      </c>
      <c r="F582" s="8">
        <v>-9.818</v>
      </c>
      <c r="G582" s="11">
        <v>13082.84535776</v>
      </c>
      <c r="H582" s="11">
        <v>13082.84</v>
      </c>
      <c r="I582" s="11">
        <f>H582-G582</f>
        <v>-0.005357759999242262</v>
      </c>
    </row>
    <row r="583" spans="1:9">
      <c r="A583" s="3" t="s">
        <v>169</v>
      </c>
      <c r="B583" s="3" t="s">
        <v>434</v>
      </c>
      <c r="C583" s="3">
        <v>28</v>
      </c>
      <c r="D583" s="3">
        <v>28</v>
      </c>
      <c r="E583" s="8">
        <v>-9.818182</v>
      </c>
      <c r="F583" s="8">
        <v>-9.818</v>
      </c>
      <c r="G583" s="11">
        <v>6718.68659078</v>
      </c>
      <c r="H583" s="11">
        <v>6718.67</v>
      </c>
      <c r="I583" s="11">
        <f>H583-G583</f>
        <v>-0.016590780000115046</v>
      </c>
    </row>
    <row r="584" spans="1:9">
      <c r="A584" s="3" t="s">
        <v>169</v>
      </c>
      <c r="B584" s="3" t="s">
        <v>435</v>
      </c>
      <c r="C584" s="3">
        <v>27</v>
      </c>
      <c r="D584" s="3">
        <v>27</v>
      </c>
      <c r="E584" s="8">
        <v>-9.818182</v>
      </c>
      <c r="F584" s="8">
        <v>-9.818</v>
      </c>
      <c r="G584" s="11">
        <v>8522.797536890001</v>
      </c>
      <c r="H584" s="11">
        <v>8522.82</v>
      </c>
      <c r="I584" s="11">
        <f>H584-G584</f>
        <v>0.02246310999908019</v>
      </c>
    </row>
    <row r="585" spans="1:9">
      <c r="A585" s="3" t="s">
        <v>169</v>
      </c>
      <c r="B585" s="3" t="s">
        <v>436</v>
      </c>
      <c r="C585" s="3">
        <v>28</v>
      </c>
      <c r="D585" s="3">
        <v>28</v>
      </c>
      <c r="E585" s="8">
        <v>-9.818182</v>
      </c>
      <c r="F585" s="8">
        <v>-9.818</v>
      </c>
      <c r="G585" s="11">
        <v>3506.08586496</v>
      </c>
      <c r="H585" s="11">
        <v>3506.1</v>
      </c>
      <c r="I585" s="11">
        <f>H585-G585</f>
        <v>0.014135040000383015</v>
      </c>
    </row>
    <row r="586" spans="1:9">
      <c r="A586" s="3" t="s">
        <v>169</v>
      </c>
      <c r="B586" s="3" t="s">
        <v>437</v>
      </c>
      <c r="C586" s="3">
        <v>28</v>
      </c>
      <c r="D586" s="3">
        <v>28</v>
      </c>
      <c r="E586" s="8">
        <v>-9.818182</v>
      </c>
      <c r="F586" s="8">
        <v>-9.818</v>
      </c>
      <c r="G586" s="11">
        <v>2665.52850582</v>
      </c>
      <c r="H586" s="11">
        <v>2665.55</v>
      </c>
      <c r="I586" s="11">
        <f>H586-G586</f>
        <v>0.02149418000044534</v>
      </c>
    </row>
    <row r="587" spans="1:9">
      <c r="A587" s="3" t="s">
        <v>169</v>
      </c>
      <c r="B587" s="3" t="s">
        <v>438</v>
      </c>
      <c r="C587" s="3">
        <v>27</v>
      </c>
      <c r="D587" s="3">
        <v>27</v>
      </c>
      <c r="E587" s="8">
        <v>-9.818182</v>
      </c>
      <c r="F587" s="8">
        <v>-9.818</v>
      </c>
      <c r="G587" s="11">
        <v>4541.382006</v>
      </c>
      <c r="H587" s="11">
        <v>4541.39</v>
      </c>
      <c r="I587" s="11">
        <f>H587-G587</f>
        <v>0.007994000000508095</v>
      </c>
    </row>
    <row r="588" spans="1:9">
      <c r="A588" s="3" t="s">
        <v>169</v>
      </c>
      <c r="B588" s="3" t="s">
        <v>439</v>
      </c>
      <c r="C588" s="3">
        <v>27</v>
      </c>
      <c r="D588" s="3">
        <v>27</v>
      </c>
      <c r="E588" s="8">
        <v>-9.818182</v>
      </c>
      <c r="F588" s="8">
        <v>-9.818</v>
      </c>
      <c r="G588" s="11">
        <v>4094.059033940001</v>
      </c>
      <c r="H588" s="11">
        <v>4094.059999999999</v>
      </c>
      <c r="I588" s="11">
        <f>H588-G588</f>
        <v>0.0009660599989729235</v>
      </c>
    </row>
    <row r="589" spans="1:9">
      <c r="A589" s="3" t="s">
        <v>169</v>
      </c>
      <c r="B589" s="3" t="s">
        <v>440</v>
      </c>
      <c r="C589" s="3">
        <v>21</v>
      </c>
      <c r="D589" s="3">
        <v>21</v>
      </c>
      <c r="E589" s="8">
        <v>-7.58018</v>
      </c>
      <c r="F589" s="8">
        <v>-7.58</v>
      </c>
      <c r="G589" s="11">
        <v>6235.98924448</v>
      </c>
      <c r="H589" s="11">
        <v>6235.99</v>
      </c>
      <c r="I589" s="11">
        <f>H589-G589</f>
        <v>0.0007555199999842444</v>
      </c>
    </row>
    <row r="590" spans="1:9">
      <c r="A590" s="3" t="s">
        <v>169</v>
      </c>
      <c r="B590" s="3" t="s">
        <v>441</v>
      </c>
      <c r="C590" s="3">
        <v>19</v>
      </c>
      <c r="D590" s="3">
        <v>19</v>
      </c>
      <c r="E590" s="8">
        <v>-6.860180000000001</v>
      </c>
      <c r="F590" s="8">
        <v>-6.859999999999999</v>
      </c>
      <c r="G590" s="11">
        <v>6035.41474916</v>
      </c>
      <c r="H590" s="11">
        <v>6035.42</v>
      </c>
      <c r="I590" s="11">
        <f>H590-G590</f>
        <v>0.0052508400003716815</v>
      </c>
    </row>
    <row r="591" spans="1:9">
      <c r="A591" s="3" t="s">
        <v>169</v>
      </c>
      <c r="B591" s="3" t="s">
        <v>442</v>
      </c>
      <c r="C591" s="3">
        <v>28</v>
      </c>
      <c r="D591" s="3">
        <v>28</v>
      </c>
      <c r="E591" s="8">
        <v>-9.818182</v>
      </c>
      <c r="F591" s="8">
        <v>-9.818</v>
      </c>
      <c r="G591" s="11">
        <v>1682.23737787</v>
      </c>
      <c r="H591" s="11">
        <v>1682.26</v>
      </c>
      <c r="I591" s="11">
        <f>H591-G591</f>
        <v>0.022622130000172547</v>
      </c>
    </row>
    <row r="592" spans="1:9">
      <c r="A592" s="3" t="s">
        <v>169</v>
      </c>
      <c r="B592" s="3" t="s">
        <v>443</v>
      </c>
      <c r="C592" s="3">
        <v>28</v>
      </c>
      <c r="D592" s="3">
        <v>28</v>
      </c>
      <c r="E592" s="8">
        <v>-9.818182</v>
      </c>
      <c r="F592" s="8">
        <v>-9.818000000000001</v>
      </c>
      <c r="G592" s="11">
        <v>5211.31551734</v>
      </c>
      <c r="H592" s="11">
        <v>5211.32</v>
      </c>
      <c r="I592" s="11">
        <f>H592-G592</f>
        <v>0.004482659999666794</v>
      </c>
    </row>
    <row r="593" spans="1:9">
      <c r="A593" s="3" t="s">
        <v>169</v>
      </c>
      <c r="B593" s="3" t="s">
        <v>444</v>
      </c>
      <c r="C593" s="3">
        <v>28</v>
      </c>
      <c r="D593" s="3">
        <v>28</v>
      </c>
      <c r="E593" s="8">
        <v>-9.818182</v>
      </c>
      <c r="F593" s="8">
        <v>-9.817999999999998</v>
      </c>
      <c r="G593" s="11">
        <v>3938.8236274</v>
      </c>
      <c r="H593" s="11">
        <v>3938.84</v>
      </c>
      <c r="I593" s="11">
        <f>H593-G593</f>
        <v>0.016372600000067905</v>
      </c>
    </row>
    <row r="594" spans="1:9">
      <c r="A594" s="3" t="s">
        <v>169</v>
      </c>
      <c r="B594" s="3" t="s">
        <v>445</v>
      </c>
      <c r="C594" s="3">
        <v>19</v>
      </c>
      <c r="D594" s="3">
        <v>19</v>
      </c>
      <c r="E594" s="8">
        <v>-6.467453000000001</v>
      </c>
      <c r="F594" s="8">
        <v>-6.467</v>
      </c>
      <c r="G594" s="11">
        <v>5714.18613369</v>
      </c>
      <c r="H594" s="11">
        <v>5714.19</v>
      </c>
      <c r="I594" s="11">
        <f>H594-G594</f>
        <v>0.0038663099994664663</v>
      </c>
    </row>
    <row r="595" spans="1:9">
      <c r="A595" s="3" t="s">
        <v>169</v>
      </c>
      <c r="B595" s="3" t="s">
        <v>446</v>
      </c>
      <c r="C595" s="3">
        <v>28</v>
      </c>
      <c r="D595" s="3">
        <v>28</v>
      </c>
      <c r="E595" s="8">
        <v>-9.818182</v>
      </c>
      <c r="F595" s="8">
        <v>-9.818</v>
      </c>
      <c r="G595" s="11">
        <v>4633.39554307</v>
      </c>
      <c r="H595" s="11">
        <v>4633.41</v>
      </c>
      <c r="I595" s="11">
        <f>H595-G595</f>
        <v>0.014456930000051216</v>
      </c>
    </row>
    <row r="596" spans="1:9">
      <c r="A596" s="3" t="s">
        <v>169</v>
      </c>
      <c r="B596" s="3" t="s">
        <v>447</v>
      </c>
      <c r="C596" s="3">
        <v>19</v>
      </c>
      <c r="D596" s="3">
        <v>19</v>
      </c>
      <c r="E596" s="8">
        <v>-6.467453000000001</v>
      </c>
      <c r="F596" s="8">
        <v>-6.467</v>
      </c>
      <c r="G596" s="11">
        <v>6226.36537772</v>
      </c>
      <c r="H596" s="11">
        <v>6226.37</v>
      </c>
      <c r="I596" s="11">
        <f>H596-G596</f>
        <v>0.0046222800001487485</v>
      </c>
    </row>
    <row r="597" spans="1:9">
      <c r="A597" s="3" t="s">
        <v>169</v>
      </c>
      <c r="B597" s="3" t="s">
        <v>448</v>
      </c>
      <c r="C597" s="3">
        <v>23</v>
      </c>
      <c r="D597" s="3">
        <v>23</v>
      </c>
      <c r="E597" s="8">
        <v>-8.300180000000001</v>
      </c>
      <c r="F597" s="8">
        <v>-8.299999999999999</v>
      </c>
      <c r="G597" s="11">
        <v>6584.277422239999</v>
      </c>
      <c r="H597" s="11">
        <v>6584.27</v>
      </c>
      <c r="I597" s="11">
        <f>H597-G597</f>
        <v>-0.007422239998959412</v>
      </c>
    </row>
    <row r="598" spans="1:9">
      <c r="A598" s="3" t="s">
        <v>169</v>
      </c>
      <c r="B598" s="3" t="s">
        <v>449</v>
      </c>
      <c r="C598" s="3">
        <v>27</v>
      </c>
      <c r="D598" s="3">
        <v>27</v>
      </c>
      <c r="E598" s="8">
        <v>-9.818182</v>
      </c>
      <c r="F598" s="8">
        <v>-9.818</v>
      </c>
      <c r="G598" s="11">
        <v>5468.66468936</v>
      </c>
      <c r="H598" s="11">
        <v>5468.68</v>
      </c>
      <c r="I598" s="11">
        <f>H598-G598</f>
        <v>0.015310640000279818</v>
      </c>
    </row>
    <row r="599" spans="1:9">
      <c r="A599" s="3" t="s">
        <v>169</v>
      </c>
      <c r="B599" s="3" t="s">
        <v>450</v>
      </c>
      <c r="C599" s="3">
        <v>28</v>
      </c>
      <c r="D599" s="3">
        <v>28</v>
      </c>
      <c r="E599" s="8">
        <v>-9.818182</v>
      </c>
      <c r="F599" s="8">
        <v>-9.818</v>
      </c>
      <c r="G599" s="11">
        <v>4837.61808551</v>
      </c>
      <c r="H599" s="11">
        <v>4837.639999999999</v>
      </c>
      <c r="I599" s="11">
        <f>H599-G599</f>
        <v>0.0219144899992898</v>
      </c>
    </row>
    <row r="600" spans="1:9">
      <c r="A600" s="3" t="s">
        <v>169</v>
      </c>
      <c r="B600" s="3" t="s">
        <v>451</v>
      </c>
      <c r="C600" s="3">
        <v>22</v>
      </c>
      <c r="D600" s="3">
        <v>22</v>
      </c>
      <c r="E600" s="8">
        <v>-7.979181000000001</v>
      </c>
      <c r="F600" s="8">
        <v>-7.979</v>
      </c>
      <c r="G600" s="11">
        <v>4915.03560967</v>
      </c>
      <c r="H600" s="11">
        <v>4915.04</v>
      </c>
      <c r="I600" s="11">
        <f>H600-G600</f>
        <v>0.004390330000205722</v>
      </c>
    </row>
    <row r="601" spans="1:9">
      <c r="A601" s="3" t="s">
        <v>169</v>
      </c>
      <c r="B601" s="3" t="s">
        <v>452</v>
      </c>
      <c r="C601" s="3">
        <v>24</v>
      </c>
      <c r="D601" s="3">
        <v>24</v>
      </c>
      <c r="E601" s="8">
        <v>-8.11009</v>
      </c>
      <c r="F601" s="8">
        <v>-8.109999999999999</v>
      </c>
      <c r="G601" s="11">
        <v>7720.665732660001</v>
      </c>
      <c r="H601" s="11">
        <v>7720.64</v>
      </c>
      <c r="I601" s="11">
        <f>H601-G601</f>
        <v>-0.02573266000035801</v>
      </c>
    </row>
    <row r="602" spans="1:9">
      <c r="A602" s="3" t="s">
        <v>169</v>
      </c>
      <c r="B602" s="3" t="s">
        <v>453</v>
      </c>
      <c r="C602" s="3">
        <v>27</v>
      </c>
      <c r="D602" s="3">
        <v>27</v>
      </c>
      <c r="E602" s="8">
        <v>-9.327273</v>
      </c>
      <c r="F602" s="8">
        <v>-9.327</v>
      </c>
      <c r="G602" s="11">
        <v>9296.82346856</v>
      </c>
      <c r="H602" s="11">
        <v>9296.799999999999</v>
      </c>
      <c r="I602" s="11">
        <f>H602-G602</f>
        <v>-0.023468560000765137</v>
      </c>
    </row>
    <row r="603" spans="1:9">
      <c r="A603" s="3" t="s">
        <v>169</v>
      </c>
      <c r="B603" s="3" t="s">
        <v>454</v>
      </c>
      <c r="C603" s="3">
        <v>30</v>
      </c>
      <c r="D603" s="3">
        <v>30</v>
      </c>
      <c r="E603" s="8">
        <v>-9.818182</v>
      </c>
      <c r="F603" s="8">
        <v>-9.817</v>
      </c>
      <c r="G603" s="11">
        <v>8679.256511789999</v>
      </c>
      <c r="H603" s="11">
        <v>8679.32</v>
      </c>
      <c r="I603" s="11">
        <f>H603-G603</f>
        <v>0.06348821000028693</v>
      </c>
    </row>
    <row r="604" spans="1:9">
      <c r="A604" s="3" t="s">
        <v>169</v>
      </c>
      <c r="B604" s="3" t="s">
        <v>455</v>
      </c>
      <c r="C604" s="3">
        <v>19</v>
      </c>
      <c r="D604" s="3">
        <v>19</v>
      </c>
      <c r="E604" s="8">
        <v>-6.860180000000001</v>
      </c>
      <c r="F604" s="8">
        <v>-6.859999999999999</v>
      </c>
      <c r="G604" s="11">
        <v>10321.30201244</v>
      </c>
      <c r="H604" s="11">
        <v>10321.3</v>
      </c>
      <c r="I604" s="11">
        <f>H604-G604</f>
        <v>-0.0020124399998167064</v>
      </c>
    </row>
    <row r="605" spans="1:9">
      <c r="A605" s="3" t="s">
        <v>169</v>
      </c>
      <c r="B605" s="3" t="s">
        <v>456</v>
      </c>
      <c r="C605" s="3">
        <v>28</v>
      </c>
      <c r="D605" s="3">
        <v>28</v>
      </c>
      <c r="E605" s="8">
        <v>-9.818182</v>
      </c>
      <c r="F605" s="8">
        <v>-9.818</v>
      </c>
      <c r="G605" s="11">
        <v>8207.163834359999</v>
      </c>
      <c r="H605" s="11">
        <v>8207.17</v>
      </c>
      <c r="I605" s="11">
        <f>H605-G605</f>
        <v>0.00616564000119979</v>
      </c>
    </row>
    <row r="606" spans="1:9">
      <c r="A606" s="3" t="s">
        <v>169</v>
      </c>
      <c r="B606" s="3" t="s">
        <v>457</v>
      </c>
      <c r="C606" s="3">
        <v>27</v>
      </c>
      <c r="D606" s="3">
        <v>27</v>
      </c>
      <c r="E606" s="8">
        <v>-9.818182</v>
      </c>
      <c r="F606" s="8">
        <v>-9.818000000000001</v>
      </c>
      <c r="G606" s="11">
        <v>9808.502246829999</v>
      </c>
      <c r="H606" s="11">
        <v>9808.5</v>
      </c>
      <c r="I606" s="11">
        <f>H606-G606</f>
        <v>-0.0022468299994216068</v>
      </c>
    </row>
    <row r="607" spans="1:9">
      <c r="A607" s="3" t="s">
        <v>169</v>
      </c>
      <c r="B607" s="3" t="s">
        <v>458</v>
      </c>
      <c r="C607" s="3">
        <v>26</v>
      </c>
      <c r="D607" s="3">
        <v>26</v>
      </c>
      <c r="E607" s="8">
        <v>-9.222817000000001</v>
      </c>
      <c r="F607" s="8">
        <v>-9.222999999999999</v>
      </c>
      <c r="G607" s="11">
        <v>7187.653089760001</v>
      </c>
      <c r="H607" s="11">
        <v>7187.6</v>
      </c>
      <c r="I607" s="11">
        <f>H607-G607</f>
        <v>-0.05308976000014809</v>
      </c>
    </row>
    <row r="608" spans="1:9">
      <c r="A608" s="3" t="s">
        <v>169</v>
      </c>
      <c r="B608" s="3" t="s">
        <v>459</v>
      </c>
      <c r="C608" s="3">
        <v>28</v>
      </c>
      <c r="D608" s="3">
        <v>28</v>
      </c>
      <c r="E608" s="8">
        <v>-9.818182</v>
      </c>
      <c r="F608" s="8">
        <v>-9.818</v>
      </c>
      <c r="G608" s="11">
        <v>14591.13714668</v>
      </c>
      <c r="H608" s="11">
        <v>14591.14</v>
      </c>
      <c r="I608" s="11">
        <f>H608-G608</f>
        <v>0.0028533199983939994</v>
      </c>
    </row>
    <row r="609" spans="1:9">
      <c r="A609" s="3" t="s">
        <v>169</v>
      </c>
      <c r="B609" s="3" t="s">
        <v>460</v>
      </c>
      <c r="C609" s="3">
        <v>28</v>
      </c>
      <c r="D609" s="3">
        <v>28</v>
      </c>
      <c r="E609" s="8">
        <v>-9.818182</v>
      </c>
      <c r="F609" s="8">
        <v>-9.818</v>
      </c>
      <c r="G609" s="11">
        <v>9461.787554009999</v>
      </c>
      <c r="H609" s="11">
        <v>9461.790000000001</v>
      </c>
      <c r="I609" s="11">
        <f>H609-G609</f>
        <v>0.002445990001433529</v>
      </c>
    </row>
    <row r="610" spans="1:9">
      <c r="A610" s="3" t="s">
        <v>169</v>
      </c>
      <c r="B610" s="3" t="s">
        <v>461</v>
      </c>
      <c r="C610" s="3">
        <v>28</v>
      </c>
      <c r="D610" s="3">
        <v>28</v>
      </c>
      <c r="E610" s="8">
        <v>-9.818182</v>
      </c>
      <c r="F610" s="8">
        <v>-9.818</v>
      </c>
      <c r="G610" s="11">
        <v>6964.56279202</v>
      </c>
      <c r="H610" s="11">
        <v>6964.570000000001</v>
      </c>
      <c r="I610" s="11">
        <f>H610-G610</f>
        <v>0.007207980001112446</v>
      </c>
    </row>
    <row r="611" spans="1:9">
      <c r="A611" s="3" t="s">
        <v>169</v>
      </c>
      <c r="B611" s="3" t="s">
        <v>462</v>
      </c>
      <c r="C611" s="3">
        <v>20</v>
      </c>
      <c r="D611" s="3">
        <v>20</v>
      </c>
      <c r="E611" s="8">
        <v>-7.062817000000001</v>
      </c>
      <c r="F611" s="8">
        <v>-7.063</v>
      </c>
      <c r="G611" s="11">
        <v>6681.76538295</v>
      </c>
      <c r="H611" s="11">
        <v>6681.72</v>
      </c>
      <c r="I611" s="11">
        <f>H611-G611</f>
        <v>-0.04538294999929349</v>
      </c>
    </row>
    <row r="612" spans="1:9">
      <c r="A612" s="3" t="s">
        <v>169</v>
      </c>
      <c r="B612" s="3" t="s">
        <v>463</v>
      </c>
      <c r="C612" s="3">
        <v>27</v>
      </c>
      <c r="D612" s="3">
        <v>27</v>
      </c>
      <c r="E612" s="8">
        <v>-9.818182</v>
      </c>
      <c r="F612" s="8">
        <v>-9.818000000000001</v>
      </c>
      <c r="G612" s="11">
        <v>10474.6802773</v>
      </c>
      <c r="H612" s="11">
        <v>10474.7</v>
      </c>
      <c r="I612" s="11">
        <f>H612-G612</f>
        <v>0.019722700000784243</v>
      </c>
    </row>
    <row r="613" spans="1:9">
      <c r="A613" s="3" t="s">
        <v>169</v>
      </c>
      <c r="B613" s="3" t="s">
        <v>464</v>
      </c>
      <c r="C613" s="3">
        <v>28</v>
      </c>
      <c r="D613" s="3">
        <v>28</v>
      </c>
      <c r="E613" s="8">
        <v>-9.818182</v>
      </c>
      <c r="F613" s="8">
        <v>-9.818</v>
      </c>
      <c r="G613" s="11">
        <v>2533.09898575</v>
      </c>
      <c r="H613" s="11">
        <v>2533.11</v>
      </c>
      <c r="I613" s="11">
        <f>H613-G613</f>
        <v>0.01101425000024392</v>
      </c>
    </row>
    <row r="614" spans="1:9">
      <c r="A614" s="3" t="s">
        <v>169</v>
      </c>
      <c r="B614" s="3" t="s">
        <v>465</v>
      </c>
      <c r="C614" s="3">
        <v>28</v>
      </c>
      <c r="D614" s="3">
        <v>28</v>
      </c>
      <c r="E614" s="8">
        <v>-9.818182</v>
      </c>
      <c r="F614" s="8">
        <v>-9.818000000000001</v>
      </c>
      <c r="G614" s="11">
        <v>4516.74006204</v>
      </c>
      <c r="H614" s="11">
        <v>4516.74</v>
      </c>
      <c r="I614" s="11">
        <f>H614-G614</f>
        <v>-6.20400005573174e-05</v>
      </c>
    </row>
    <row r="615" spans="1:9">
      <c r="A615" s="3" t="s">
        <v>169</v>
      </c>
      <c r="B615" s="3" t="s">
        <v>466</v>
      </c>
      <c r="C615" s="3">
        <v>28</v>
      </c>
      <c r="D615" s="3">
        <v>28</v>
      </c>
      <c r="E615" s="8">
        <v>-9.818182</v>
      </c>
      <c r="F615" s="8">
        <v>-9.818000000000001</v>
      </c>
      <c r="G615" s="11">
        <v>4987.31580068</v>
      </c>
      <c r="H615" s="11">
        <v>4987.33</v>
      </c>
      <c r="I615" s="11">
        <f>H615-G615</f>
        <v>0.014199319999534055</v>
      </c>
    </row>
    <row r="616" spans="1:9">
      <c r="A616" s="3" t="s">
        <v>169</v>
      </c>
      <c r="B616" s="3" t="s">
        <v>467</v>
      </c>
      <c r="C616" s="3">
        <v>28</v>
      </c>
      <c r="D616" s="3">
        <v>28</v>
      </c>
      <c r="E616" s="8">
        <v>-9.818182</v>
      </c>
      <c r="F616" s="8">
        <v>-9.818000000000001</v>
      </c>
      <c r="G616" s="11">
        <v>5477.94722606</v>
      </c>
      <c r="H616" s="11">
        <v>5477.96</v>
      </c>
      <c r="I616" s="11">
        <f>H616-G616</f>
        <v>0.012773940000442963</v>
      </c>
    </row>
    <row r="617" spans="1:9">
      <c r="A617" s="3" t="s">
        <v>169</v>
      </c>
      <c r="B617" s="3" t="s">
        <v>468</v>
      </c>
      <c r="C617" s="3">
        <v>24</v>
      </c>
      <c r="D617" s="3">
        <v>24</v>
      </c>
      <c r="E617" s="8">
        <v>-8.234725000000001</v>
      </c>
      <c r="F617" s="8">
        <v>-8.234999999999999</v>
      </c>
      <c r="G617" s="11">
        <v>6721.87840613</v>
      </c>
      <c r="H617" s="11">
        <v>6721.87</v>
      </c>
      <c r="I617" s="11">
        <f>H617-G617</f>
        <v>-0.00840613000036683</v>
      </c>
    </row>
    <row r="618" spans="1:9">
      <c r="A618" s="3" t="s">
        <v>169</v>
      </c>
      <c r="B618" s="3" t="s">
        <v>469</v>
      </c>
      <c r="C618" s="3">
        <v>19</v>
      </c>
      <c r="D618" s="3">
        <v>19</v>
      </c>
      <c r="E618" s="8">
        <v>-6.860180000000001</v>
      </c>
      <c r="F618" s="8">
        <v>-6.859999999999999</v>
      </c>
      <c r="G618" s="11">
        <v>7632.6450602</v>
      </c>
      <c r="H618" s="11">
        <v>7632.65</v>
      </c>
      <c r="I618" s="11">
        <f>H618-G618</f>
        <v>0.004939800000101968</v>
      </c>
    </row>
    <row r="619" spans="1:9">
      <c r="A619" s="3" t="s">
        <v>169</v>
      </c>
      <c r="B619" s="3" t="s">
        <v>470</v>
      </c>
      <c r="C619" s="3">
        <v>27</v>
      </c>
      <c r="D619" s="3">
        <v>27</v>
      </c>
      <c r="E619" s="8">
        <v>-9.818182</v>
      </c>
      <c r="F619" s="8">
        <v>-9.818</v>
      </c>
      <c r="G619" s="11">
        <v>5825.469788670001</v>
      </c>
      <c r="H619" s="11">
        <v>5825.469999999999</v>
      </c>
      <c r="I619" s="11">
        <f>H619-G619</f>
        <v>0.00021132999881956493</v>
      </c>
    </row>
    <row r="620" spans="1:9">
      <c r="A620" s="3" t="s">
        <v>169</v>
      </c>
      <c r="B620" s="3" t="s">
        <v>471</v>
      </c>
      <c r="C620" s="3">
        <v>26</v>
      </c>
      <c r="D620" s="3">
        <v>26</v>
      </c>
      <c r="E620" s="8">
        <v>-9.210271000000001</v>
      </c>
      <c r="F620" s="8">
        <v>-9.210000000000001</v>
      </c>
      <c r="G620" s="11">
        <v>5976.526804380001</v>
      </c>
      <c r="H620" s="11">
        <v>5976.54</v>
      </c>
      <c r="I620" s="11">
        <f>H620-G620</f>
        <v>0.013195619999351038</v>
      </c>
    </row>
    <row r="621" spans="1:9">
      <c r="A621" s="3" t="s">
        <v>169</v>
      </c>
      <c r="B621" s="3" t="s">
        <v>472</v>
      </c>
      <c r="C621" s="3">
        <v>27</v>
      </c>
      <c r="D621" s="3">
        <v>27</v>
      </c>
      <c r="E621" s="8">
        <v>-9.818182</v>
      </c>
      <c r="F621" s="8">
        <v>-9.818</v>
      </c>
      <c r="G621" s="11">
        <v>4980.38878869</v>
      </c>
      <c r="H621" s="11">
        <v>4980.389999999999</v>
      </c>
      <c r="I621" s="11">
        <f>H621-G621</f>
        <v>0.0012113099992347998</v>
      </c>
    </row>
    <row r="622" spans="1:9">
      <c r="A622" s="3" t="s">
        <v>169</v>
      </c>
      <c r="B622" s="3" t="s">
        <v>473</v>
      </c>
      <c r="C622" s="3">
        <v>23</v>
      </c>
      <c r="D622" s="3">
        <v>23</v>
      </c>
      <c r="E622" s="8">
        <v>-8.300180000000001</v>
      </c>
      <c r="F622" s="8">
        <v>-8.300000000000001</v>
      </c>
      <c r="G622" s="11">
        <v>5499.18307128</v>
      </c>
      <c r="H622" s="11">
        <v>5499.18</v>
      </c>
      <c r="I622" s="11">
        <f>H622-G622</f>
        <v>-0.003071279999858234</v>
      </c>
    </row>
    <row r="623" spans="1:9">
      <c r="A623" s="3" t="s">
        <v>169</v>
      </c>
      <c r="B623" s="3" t="s">
        <v>474</v>
      </c>
      <c r="C623" s="3">
        <v>21</v>
      </c>
      <c r="D623" s="3">
        <v>21</v>
      </c>
      <c r="E623" s="8">
        <v>-7.58018</v>
      </c>
      <c r="F623" s="8">
        <v>-7.58</v>
      </c>
      <c r="G623" s="11">
        <v>2273.44958792</v>
      </c>
      <c r="H623" s="11">
        <v>2273.46</v>
      </c>
      <c r="I623" s="11">
        <f>H623-G623</f>
        <v>0.010412080000151036</v>
      </c>
    </row>
    <row r="624" spans="1:9">
      <c r="A624" s="3" t="s">
        <v>169</v>
      </c>
      <c r="B624" s="3" t="s">
        <v>475</v>
      </c>
      <c r="C624" s="3">
        <v>21</v>
      </c>
      <c r="D624" s="3">
        <v>21</v>
      </c>
      <c r="E624" s="8">
        <v>-7.58018</v>
      </c>
      <c r="F624" s="8">
        <v>-7.58</v>
      </c>
      <c r="G624" s="11">
        <v>5874.78223748</v>
      </c>
      <c r="H624" s="11">
        <v>5874.78</v>
      </c>
      <c r="I624" s="11">
        <f>H624-G624</f>
        <v>-0.002237480000076175</v>
      </c>
    </row>
    <row r="625" spans="1:9">
      <c r="A625" s="3" t="s">
        <v>169</v>
      </c>
      <c r="B625" s="3" t="s">
        <v>476</v>
      </c>
      <c r="C625" s="3">
        <v>17</v>
      </c>
      <c r="D625" s="3">
        <v>17</v>
      </c>
      <c r="E625" s="8">
        <v>-6.140180000000001</v>
      </c>
      <c r="F625" s="8">
        <v>-6.14</v>
      </c>
      <c r="G625" s="11">
        <v>5408.72182124</v>
      </c>
      <c r="H625" s="11">
        <v>5408.73</v>
      </c>
      <c r="I625" s="11">
        <f>H625-G625</f>
        <v>0.008178759999282192</v>
      </c>
    </row>
    <row r="626" spans="1:9">
      <c r="A626" s="3" t="s">
        <v>169</v>
      </c>
      <c r="B626" s="3" t="s">
        <v>477</v>
      </c>
      <c r="C626" s="3">
        <v>28</v>
      </c>
      <c r="D626" s="3">
        <v>28</v>
      </c>
      <c r="E626" s="8">
        <v>-9.818182</v>
      </c>
      <c r="F626" s="8">
        <v>-9.818000000000001</v>
      </c>
      <c r="G626" s="11">
        <v>6050.97564516</v>
      </c>
      <c r="H626" s="11">
        <v>6050.98</v>
      </c>
      <c r="I626" s="11">
        <f>H626-G626</f>
        <v>0.004354840000814875</v>
      </c>
    </row>
    <row r="627" spans="1:9">
      <c r="A627" s="3" t="s">
        <v>169</v>
      </c>
      <c r="B627" s="3" t="s">
        <v>478</v>
      </c>
      <c r="C627" s="3">
        <v>28</v>
      </c>
      <c r="D627" s="3">
        <v>28</v>
      </c>
      <c r="E627" s="8">
        <v>-9.818182</v>
      </c>
      <c r="F627" s="8">
        <v>-9.818000000000001</v>
      </c>
      <c r="G627" s="11">
        <v>4709.40577358</v>
      </c>
      <c r="H627" s="11">
        <v>4709.41</v>
      </c>
      <c r="I627" s="11">
        <f>H627-G627</f>
        <v>0.004226420000122744</v>
      </c>
    </row>
    <row r="628" spans="1:9">
      <c r="A628" s="3" t="s">
        <v>169</v>
      </c>
      <c r="B628" s="3" t="s">
        <v>479</v>
      </c>
      <c r="C628" s="3">
        <v>23</v>
      </c>
      <c r="D628" s="3">
        <v>23</v>
      </c>
      <c r="E628" s="8">
        <v>-8.181818</v>
      </c>
      <c r="F628" s="8">
        <v>-8.182</v>
      </c>
      <c r="G628" s="11">
        <v>3465.47031323</v>
      </c>
      <c r="H628" s="11">
        <v>3465.43</v>
      </c>
      <c r="I628" s="11">
        <f>H628-G628</f>
        <v>-0.04031323000026532</v>
      </c>
    </row>
    <row r="629" spans="1:9">
      <c r="A629" s="3" t="s">
        <v>169</v>
      </c>
      <c r="B629" s="3" t="s">
        <v>480</v>
      </c>
      <c r="C629" s="3">
        <v>21</v>
      </c>
      <c r="D629" s="3">
        <v>21</v>
      </c>
      <c r="E629" s="8">
        <v>-7.58018</v>
      </c>
      <c r="F629" s="8">
        <v>-7.58</v>
      </c>
      <c r="G629" s="11">
        <v>12335.22834976</v>
      </c>
      <c r="H629" s="11">
        <v>12335.24</v>
      </c>
      <c r="I629" s="11">
        <f>H629-G629</f>
        <v>0.011650239999653422</v>
      </c>
    </row>
    <row r="630" spans="1:9">
      <c r="A630" s="3" t="s">
        <v>169</v>
      </c>
      <c r="B630" s="3" t="s">
        <v>481</v>
      </c>
      <c r="C630" s="3">
        <v>28</v>
      </c>
      <c r="D630" s="3">
        <v>28</v>
      </c>
      <c r="E630" s="8">
        <v>-9.818182</v>
      </c>
      <c r="F630" s="8">
        <v>-9.818</v>
      </c>
      <c r="G630" s="11">
        <v>7424.46155087</v>
      </c>
      <c r="H630" s="11">
        <v>7424.46</v>
      </c>
      <c r="I630" s="11">
        <f>H630-G630</f>
        <v>-0.0015508699998463271</v>
      </c>
    </row>
    <row r="631" spans="1:9">
      <c r="A631" s="3" t="s">
        <v>169</v>
      </c>
      <c r="B631" s="3" t="s">
        <v>482</v>
      </c>
      <c r="C631" s="3">
        <v>22</v>
      </c>
      <c r="D631" s="3">
        <v>22</v>
      </c>
      <c r="E631" s="8">
        <v>-7.979181000000001</v>
      </c>
      <c r="F631" s="8">
        <v>-7.979</v>
      </c>
      <c r="G631" s="11">
        <v>7203.01909586</v>
      </c>
      <c r="H631" s="11">
        <v>7203.02</v>
      </c>
      <c r="I631" s="11">
        <f>H631-G631</f>
        <v>0.0009041400007845368</v>
      </c>
    </row>
    <row r="632" spans="1:9">
      <c r="A632" s="3" t="s">
        <v>169</v>
      </c>
      <c r="B632" s="3" t="s">
        <v>483</v>
      </c>
      <c r="C632" s="3">
        <v>21</v>
      </c>
      <c r="D632" s="3">
        <v>21</v>
      </c>
      <c r="E632" s="8">
        <v>-7.58018</v>
      </c>
      <c r="F632" s="8">
        <v>-7.579999999999999</v>
      </c>
      <c r="G632" s="11">
        <v>6695.42853316</v>
      </c>
      <c r="H632" s="11">
        <v>6695.43</v>
      </c>
      <c r="I632" s="11">
        <f>H632-G632</f>
        <v>0.0014668399999209214</v>
      </c>
    </row>
    <row r="633" spans="1:9">
      <c r="A633" s="3" t="s">
        <v>169</v>
      </c>
      <c r="B633" s="3" t="s">
        <v>484</v>
      </c>
      <c r="C633" s="3">
        <v>28</v>
      </c>
      <c r="D633" s="3">
        <v>28</v>
      </c>
      <c r="E633" s="8">
        <v>-9.818182</v>
      </c>
      <c r="F633" s="8">
        <v>-9.818000000000001</v>
      </c>
      <c r="G633" s="11">
        <v>8909.8876334</v>
      </c>
      <c r="H633" s="11">
        <v>8909.889999999999</v>
      </c>
      <c r="I633" s="11">
        <f>H633-G633</f>
        <v>0.0023665999997319886</v>
      </c>
    </row>
    <row r="634" spans="1:9">
      <c r="A634" s="3" t="s">
        <v>169</v>
      </c>
      <c r="B634" s="3" t="s">
        <v>485</v>
      </c>
      <c r="C634" s="3">
        <v>26</v>
      </c>
      <c r="D634" s="3">
        <v>26</v>
      </c>
      <c r="E634" s="8">
        <v>-9.210271000000001</v>
      </c>
      <c r="F634" s="8">
        <v>-9.209999999999999</v>
      </c>
      <c r="G634" s="11">
        <v>20250.49613303</v>
      </c>
      <c r="H634" s="11">
        <v>20250.53</v>
      </c>
      <c r="I634" s="11">
        <f>H634-G634</f>
        <v>0.033866969999508</v>
      </c>
    </row>
    <row r="635" spans="1:9">
      <c r="A635" s="3" t="s">
        <v>169</v>
      </c>
      <c r="B635" s="3" t="s">
        <v>486</v>
      </c>
      <c r="C635" s="3">
        <v>28</v>
      </c>
      <c r="D635" s="3">
        <v>28</v>
      </c>
      <c r="E635" s="8">
        <v>-9.818182</v>
      </c>
      <c r="F635" s="8">
        <v>-9.818</v>
      </c>
      <c r="G635" s="11">
        <v>24397.86282954</v>
      </c>
      <c r="H635" s="11">
        <v>24397.88</v>
      </c>
      <c r="I635" s="11">
        <f>H635-G635</f>
        <v>0.01717045999976108</v>
      </c>
    </row>
    <row r="636" spans="1:9">
      <c r="A636" s="3" t="s">
        <v>169</v>
      </c>
      <c r="B636" s="3" t="s">
        <v>487</v>
      </c>
      <c r="C636" s="3">
        <v>28</v>
      </c>
      <c r="D636" s="3">
        <v>28</v>
      </c>
      <c r="E636" s="8">
        <v>-9.818182</v>
      </c>
      <c r="F636" s="8">
        <v>-9.818</v>
      </c>
      <c r="G636" s="11">
        <v>10979.72826832</v>
      </c>
      <c r="H636" s="11">
        <v>10979.74</v>
      </c>
      <c r="I636" s="11">
        <f>H636-G636</f>
        <v>0.01173168000059377</v>
      </c>
    </row>
    <row r="637" spans="1:9">
      <c r="A637" s="3" t="s">
        <v>169</v>
      </c>
      <c r="B637" s="3" t="s">
        <v>488</v>
      </c>
      <c r="C637" s="3">
        <v>23</v>
      </c>
      <c r="D637" s="3">
        <v>23</v>
      </c>
      <c r="E637" s="8">
        <v>-8.300180000000001</v>
      </c>
      <c r="F637" s="8">
        <v>-8.300000000000001</v>
      </c>
      <c r="G637" s="11">
        <v>12151.01406252</v>
      </c>
      <c r="H637" s="11">
        <v>12151.03</v>
      </c>
      <c r="I637" s="11">
        <f>H637-G637</f>
        <v>0.015937479998683557</v>
      </c>
    </row>
    <row r="638" spans="1:9">
      <c r="A638" s="3" t="s">
        <v>169</v>
      </c>
      <c r="B638" s="3" t="s">
        <v>489</v>
      </c>
      <c r="C638" s="3">
        <v>26</v>
      </c>
      <c r="D638" s="3">
        <v>26</v>
      </c>
      <c r="E638" s="8">
        <v>-9.419181</v>
      </c>
      <c r="F638" s="8">
        <v>-9.419</v>
      </c>
      <c r="G638" s="11">
        <v>9070.41208357</v>
      </c>
      <c r="H638" s="11">
        <v>9070.41</v>
      </c>
      <c r="I638" s="11">
        <f>H638-G638</f>
        <v>-0.0020835699997405754</v>
      </c>
    </row>
    <row r="639" spans="1:9">
      <c r="A639" s="3" t="s">
        <v>169</v>
      </c>
      <c r="B639" s="3" t="s">
        <v>490</v>
      </c>
      <c r="C639" s="3">
        <v>28</v>
      </c>
      <c r="D639" s="3">
        <v>28</v>
      </c>
      <c r="E639" s="8">
        <v>-9.818182</v>
      </c>
      <c r="F639" s="8">
        <v>-9.818</v>
      </c>
      <c r="G639" s="11">
        <v>6794.73310965</v>
      </c>
      <c r="H639" s="11">
        <v>6794.76</v>
      </c>
      <c r="I639" s="11">
        <f>H639-G639</f>
        <v>0.026890350000030594</v>
      </c>
    </row>
    <row r="640" spans="1:9">
      <c r="A640" s="3" t="s">
        <v>169</v>
      </c>
      <c r="B640" s="3" t="s">
        <v>491</v>
      </c>
      <c r="C640" s="3">
        <v>28</v>
      </c>
      <c r="D640" s="3">
        <v>28</v>
      </c>
      <c r="E640" s="8">
        <v>-9.818182</v>
      </c>
      <c r="F640" s="8">
        <v>-9.818000000000001</v>
      </c>
      <c r="G640" s="11">
        <v>7993.134888</v>
      </c>
      <c r="H640" s="11">
        <v>7993.150000000001</v>
      </c>
      <c r="I640" s="11">
        <f>H640-G640</f>
        <v>0.01511200000095414</v>
      </c>
    </row>
    <row r="641" spans="1:9">
      <c r="A641" s="3" t="s">
        <v>169</v>
      </c>
      <c r="B641" s="3" t="s">
        <v>492</v>
      </c>
      <c r="C641" s="3">
        <v>28</v>
      </c>
      <c r="D641" s="3">
        <v>28</v>
      </c>
      <c r="E641" s="8">
        <v>-9.818182</v>
      </c>
      <c r="F641" s="8">
        <v>-9.818</v>
      </c>
      <c r="G641" s="11">
        <v>14750.37945815</v>
      </c>
      <c r="H641" s="11">
        <v>14750.4</v>
      </c>
      <c r="I641" s="11">
        <f>H641-G641</f>
        <v>0.020541849999062833</v>
      </c>
    </row>
    <row r="642" spans="1:9">
      <c r="A642" s="3" t="s">
        <v>169</v>
      </c>
      <c r="B642" s="3" t="s">
        <v>493</v>
      </c>
      <c r="C642" s="3">
        <v>28</v>
      </c>
      <c r="D642" s="3">
        <v>28</v>
      </c>
      <c r="E642" s="8">
        <v>-9.818182</v>
      </c>
      <c r="F642" s="8">
        <v>-9.818</v>
      </c>
      <c r="G642" s="11">
        <v>5256.941999639999</v>
      </c>
      <c r="H642" s="11">
        <v>5256.96</v>
      </c>
      <c r="I642" s="11">
        <f>H642-G642</f>
        <v>0.018000360000769433</v>
      </c>
    </row>
    <row r="643" spans="1:9">
      <c r="A643" s="3" t="s">
        <v>169</v>
      </c>
      <c r="B643" s="3" t="s">
        <v>494</v>
      </c>
      <c r="C643" s="3">
        <v>27</v>
      </c>
      <c r="D643" s="3">
        <v>27</v>
      </c>
      <c r="E643" s="8">
        <v>-9.740180000000001</v>
      </c>
      <c r="F643" s="8">
        <v>-9.739999999999998</v>
      </c>
      <c r="G643" s="11">
        <v>5056.21394784</v>
      </c>
      <c r="H643" s="11">
        <v>5056.21</v>
      </c>
      <c r="I643" s="11">
        <f>H643-G643</f>
        <v>-0.003947840000364522</v>
      </c>
    </row>
    <row r="644" spans="1:9">
      <c r="A644" s="3" t="s">
        <v>169</v>
      </c>
      <c r="B644" s="3" t="s">
        <v>495</v>
      </c>
      <c r="C644" s="3">
        <v>26</v>
      </c>
      <c r="D644" s="3">
        <v>26</v>
      </c>
      <c r="E644" s="8">
        <v>-9.320999</v>
      </c>
      <c r="F644" s="8">
        <v>-9.321</v>
      </c>
      <c r="G644" s="11">
        <v>5722.62061934</v>
      </c>
      <c r="H644" s="11">
        <v>5722.610000000001</v>
      </c>
      <c r="I644" s="11">
        <f>H644-G644</f>
        <v>-0.010619339999720978</v>
      </c>
    </row>
    <row r="645" spans="1:9">
      <c r="A645" s="3" t="s">
        <v>169</v>
      </c>
      <c r="B645" s="3" t="s">
        <v>496</v>
      </c>
      <c r="C645" s="3">
        <v>23</v>
      </c>
      <c r="D645" s="3">
        <v>23</v>
      </c>
      <c r="E645" s="8">
        <v>-7.907453</v>
      </c>
      <c r="F645" s="8">
        <v>-7.907</v>
      </c>
      <c r="G645" s="11">
        <v>6371.06212556</v>
      </c>
      <c r="H645" s="11">
        <v>6371.059999999999</v>
      </c>
      <c r="I645" s="11">
        <f>H645-G645</f>
        <v>-0.0021255600004224107</v>
      </c>
    </row>
    <row r="646" spans="1:9">
      <c r="A646" s="3" t="s">
        <v>169</v>
      </c>
      <c r="B646" s="3" t="s">
        <v>497</v>
      </c>
      <c r="C646" s="3">
        <v>17</v>
      </c>
      <c r="D646" s="3">
        <v>17</v>
      </c>
      <c r="E646" s="8">
        <v>-6.140180000000001</v>
      </c>
      <c r="F646" s="8">
        <v>-6.14</v>
      </c>
      <c r="G646" s="11">
        <v>6109.12661664</v>
      </c>
      <c r="H646" s="11">
        <v>6109.13</v>
      </c>
      <c r="I646" s="11">
        <f>H646-G646</f>
        <v>0.003383360000043467</v>
      </c>
    </row>
    <row r="647" spans="1:9">
      <c r="A647" s="3" t="s">
        <v>169</v>
      </c>
      <c r="B647" s="3" t="s">
        <v>498</v>
      </c>
      <c r="C647" s="3">
        <v>28</v>
      </c>
      <c r="D647" s="3">
        <v>28</v>
      </c>
      <c r="E647" s="8">
        <v>-9.818182</v>
      </c>
      <c r="F647" s="8">
        <v>-9.818000000000001</v>
      </c>
      <c r="G647" s="11">
        <v>5474.9175167</v>
      </c>
      <c r="H647" s="11">
        <v>5474.92</v>
      </c>
      <c r="I647" s="11">
        <f>H647-G647</f>
        <v>0.0024832999997670413</v>
      </c>
    </row>
    <row r="648" spans="1:9">
      <c r="A648" s="3" t="s">
        <v>169</v>
      </c>
      <c r="B648" s="3" t="s">
        <v>499</v>
      </c>
      <c r="C648" s="3">
        <v>27</v>
      </c>
      <c r="D648" s="3">
        <v>27</v>
      </c>
      <c r="E648" s="8">
        <v>-9.818182</v>
      </c>
      <c r="F648" s="8">
        <v>-9.818</v>
      </c>
      <c r="G648" s="11">
        <v>5230.56003247</v>
      </c>
      <c r="H648" s="11">
        <v>5230.55</v>
      </c>
      <c r="I648" s="11">
        <f>H648-G648</f>
        <v>-0.010032469999714522</v>
      </c>
    </row>
    <row r="649" spans="1:9">
      <c r="A649" s="3" t="s">
        <v>169</v>
      </c>
      <c r="B649" s="3" t="s">
        <v>500</v>
      </c>
      <c r="C649" s="3">
        <v>20</v>
      </c>
      <c r="D649" s="3">
        <v>20</v>
      </c>
      <c r="E649" s="8">
        <v>-7.062817000000001</v>
      </c>
      <c r="F649" s="8">
        <v>-7.063000000000001</v>
      </c>
      <c r="G649" s="11">
        <v>6350.16976048</v>
      </c>
      <c r="H649" s="11">
        <v>6350.13</v>
      </c>
      <c r="I649" s="11">
        <f>H649-G649</f>
        <v>-0.03976048000004084</v>
      </c>
    </row>
    <row r="650" spans="1:9">
      <c r="A650" s="3" t="s">
        <v>169</v>
      </c>
      <c r="B650" s="3" t="s">
        <v>501</v>
      </c>
      <c r="C650" s="3">
        <v>17</v>
      </c>
      <c r="D650" s="3">
        <v>17</v>
      </c>
      <c r="E650" s="8">
        <v>-6.140180000000001</v>
      </c>
      <c r="F650" s="8">
        <v>-6.14</v>
      </c>
      <c r="G650" s="11">
        <v>5785.647470800001</v>
      </c>
      <c r="H650" s="11">
        <v>5785.66</v>
      </c>
      <c r="I650" s="11">
        <f>H650-G650</f>
        <v>0.012529199999335106</v>
      </c>
    </row>
    <row r="651" spans="1:9">
      <c r="A651" s="3" t="s">
        <v>169</v>
      </c>
      <c r="B651" s="3" t="s">
        <v>502</v>
      </c>
      <c r="C651" s="3">
        <v>21</v>
      </c>
      <c r="D651" s="3">
        <v>21</v>
      </c>
      <c r="E651" s="8">
        <v>-7.58018</v>
      </c>
      <c r="F651" s="8">
        <v>-7.58</v>
      </c>
      <c r="G651" s="11">
        <v>5646.28092088</v>
      </c>
      <c r="H651" s="11">
        <v>5646.29</v>
      </c>
      <c r="I651" s="11">
        <f>H651-G651</f>
        <v>0.009079120000023977</v>
      </c>
    </row>
    <row r="652" spans="1:9">
      <c r="A652" s="3" t="s">
        <v>169</v>
      </c>
      <c r="B652" s="3" t="s">
        <v>503</v>
      </c>
      <c r="C652" s="3">
        <v>17</v>
      </c>
      <c r="D652" s="3">
        <v>17</v>
      </c>
      <c r="E652" s="8">
        <v>-6.140180000000001</v>
      </c>
      <c r="F652" s="8">
        <v>-6.14</v>
      </c>
      <c r="G652" s="11">
        <v>6919.40944084</v>
      </c>
      <c r="H652" s="11">
        <v>6919.41</v>
      </c>
      <c r="I652" s="11">
        <f>H652-G652</f>
        <v>0.0005591600001935149</v>
      </c>
    </row>
    <row r="653" spans="1:9">
      <c r="A653" s="3" t="s">
        <v>169</v>
      </c>
      <c r="B653" s="3" t="s">
        <v>504</v>
      </c>
      <c r="C653" s="3">
        <v>17</v>
      </c>
      <c r="D653" s="3">
        <v>17</v>
      </c>
      <c r="E653" s="8">
        <v>-6.140180000000001</v>
      </c>
      <c r="F653" s="8">
        <v>-6.14</v>
      </c>
      <c r="G653" s="11">
        <v>6813.38049376</v>
      </c>
      <c r="H653" s="11">
        <v>6813.38</v>
      </c>
      <c r="I653" s="11">
        <f>H653-G653</f>
        <v>-0.0004937599996992503</v>
      </c>
    </row>
    <row r="654" spans="1:9">
      <c r="A654" s="3" t="s">
        <v>169</v>
      </c>
      <c r="B654" s="3" t="s">
        <v>505</v>
      </c>
      <c r="C654" s="3">
        <v>27</v>
      </c>
      <c r="D654" s="3">
        <v>27</v>
      </c>
      <c r="E654" s="8">
        <v>-9.818182</v>
      </c>
      <c r="F654" s="8">
        <v>-9.818000000000001</v>
      </c>
      <c r="G654" s="11">
        <v>5900.019709499999</v>
      </c>
      <c r="H654" s="11">
        <v>5900.030000000001</v>
      </c>
      <c r="I654" s="11">
        <f>H654-G654</f>
        <v>0.010290500001246983</v>
      </c>
    </row>
    <row r="655" spans="1:9">
      <c r="A655" s="3" t="s">
        <v>169</v>
      </c>
      <c r="B655" s="3" t="s">
        <v>506</v>
      </c>
      <c r="C655" s="3">
        <v>21</v>
      </c>
      <c r="D655" s="3">
        <v>21</v>
      </c>
      <c r="E655" s="8">
        <v>-7.187453000000001</v>
      </c>
      <c r="F655" s="8">
        <v>-7.186999999999999</v>
      </c>
      <c r="G655" s="11">
        <v>4672.4469496</v>
      </c>
      <c r="H655" s="11">
        <v>4672.48</v>
      </c>
      <c r="I655" s="11">
        <f>H655-G655</f>
        <v>0.03305039999941073</v>
      </c>
    </row>
    <row r="656" spans="1:9">
      <c r="A656" s="3" t="s">
        <v>169</v>
      </c>
      <c r="B656" s="3" t="s">
        <v>507</v>
      </c>
      <c r="C656" s="3">
        <v>22</v>
      </c>
      <c r="D656" s="3">
        <v>22</v>
      </c>
      <c r="E656" s="8">
        <v>-7.880999</v>
      </c>
      <c r="F656" s="8">
        <v>-7.881</v>
      </c>
      <c r="G656" s="11">
        <v>5453.47850651</v>
      </c>
      <c r="H656" s="11">
        <v>5453.46</v>
      </c>
      <c r="I656" s="11">
        <f>H656-G656</f>
        <v>-0.018506510000406706</v>
      </c>
    </row>
    <row r="657" spans="1:9">
      <c r="A657" s="3" t="s">
        <v>169</v>
      </c>
      <c r="B657" s="3" t="s">
        <v>508</v>
      </c>
      <c r="C657" s="3">
        <v>25</v>
      </c>
      <c r="D657" s="3">
        <v>25</v>
      </c>
      <c r="E657" s="8">
        <v>-9.02018</v>
      </c>
      <c r="F657" s="8">
        <v>-9.02</v>
      </c>
      <c r="G657" s="11">
        <v>8082.78667932</v>
      </c>
      <c r="H657" s="11">
        <v>8082.8</v>
      </c>
      <c r="I657" s="11">
        <f>H657-G657</f>
        <v>0.013320680000106222</v>
      </c>
    </row>
    <row r="658" spans="1:9">
      <c r="A658" s="3" t="s">
        <v>169</v>
      </c>
      <c r="B658" s="3" t="s">
        <v>509</v>
      </c>
      <c r="C658" s="3">
        <v>24</v>
      </c>
      <c r="D658" s="3">
        <v>24</v>
      </c>
      <c r="E658" s="8">
        <v>-8.797363000000001</v>
      </c>
      <c r="F658" s="8">
        <v>-8.797000000000001</v>
      </c>
      <c r="G658" s="11">
        <v>2022.87680893</v>
      </c>
      <c r="H658" s="11">
        <v>2022.93</v>
      </c>
      <c r="I658" s="11">
        <f>H658-G658</f>
        <v>0.05319107000013901</v>
      </c>
    </row>
    <row r="659" spans="1:9">
      <c r="A659" s="3" t="s">
        <v>169</v>
      </c>
      <c r="B659" s="3" t="s">
        <v>510</v>
      </c>
      <c r="C659" s="3">
        <v>17</v>
      </c>
      <c r="D659" s="3">
        <v>17</v>
      </c>
      <c r="E659" s="8">
        <v>-6.140180000000001</v>
      </c>
      <c r="F659" s="8">
        <v>-6.14</v>
      </c>
      <c r="G659" s="11">
        <v>6790.52117172</v>
      </c>
      <c r="H659" s="11">
        <v>6790.52</v>
      </c>
      <c r="I659" s="11">
        <f>H659-G659</f>
        <v>-0.0011717199995473493</v>
      </c>
    </row>
    <row r="660" spans="1:9">
      <c r="A660" s="3" t="s">
        <v>169</v>
      </c>
      <c r="B660" s="3" t="s">
        <v>511</v>
      </c>
      <c r="C660" s="3">
        <v>17</v>
      </c>
      <c r="D660" s="3">
        <v>17</v>
      </c>
      <c r="E660" s="8">
        <v>-6.140180000000001</v>
      </c>
      <c r="F660" s="8">
        <v>-6.14</v>
      </c>
      <c r="G660" s="11">
        <v>6712.6108354</v>
      </c>
      <c r="H660" s="11">
        <v>6712.610000000001</v>
      </c>
      <c r="I660" s="11">
        <f>H660-G660</f>
        <v>-0.0008353999992323224</v>
      </c>
    </row>
    <row r="661" spans="1:9">
      <c r="A661" s="3" t="s">
        <v>169</v>
      </c>
      <c r="B661" s="3" t="s">
        <v>512</v>
      </c>
      <c r="C661" s="3">
        <v>27</v>
      </c>
      <c r="D661" s="3">
        <v>27</v>
      </c>
      <c r="E661" s="8">
        <v>-9.818182</v>
      </c>
      <c r="F661" s="8">
        <v>-9.818</v>
      </c>
      <c r="G661" s="11">
        <v>7867.57403393</v>
      </c>
      <c r="H661" s="11">
        <v>7867.57</v>
      </c>
      <c r="I661" s="11">
        <f>H661-G661</f>
        <v>-0.004033930000332475</v>
      </c>
    </row>
    <row r="662" spans="1:9">
      <c r="A662" s="3" t="s">
        <v>169</v>
      </c>
      <c r="B662" s="3" t="s">
        <v>513</v>
      </c>
      <c r="C662" s="3">
        <v>28</v>
      </c>
      <c r="D662" s="3">
        <v>28</v>
      </c>
      <c r="E662" s="8">
        <v>-9.818182</v>
      </c>
      <c r="F662" s="8">
        <v>-9.817999999999998</v>
      </c>
      <c r="G662" s="11">
        <v>7572.853210589999</v>
      </c>
      <c r="H662" s="11">
        <v>7572.860000000001</v>
      </c>
      <c r="I662" s="11">
        <f>H662-G662</f>
        <v>0.006789410001147189</v>
      </c>
    </row>
    <row r="663" spans="1:9">
      <c r="A663" s="3" t="s">
        <v>169</v>
      </c>
      <c r="B663" s="3" t="s">
        <v>514</v>
      </c>
      <c r="C663" s="3">
        <v>19</v>
      </c>
      <c r="D663" s="3">
        <v>19</v>
      </c>
      <c r="E663" s="8">
        <v>-6.860180000000001</v>
      </c>
      <c r="F663" s="8">
        <v>-6.859999999999999</v>
      </c>
      <c r="G663" s="11">
        <v>6947.89298568</v>
      </c>
      <c r="H663" s="11">
        <v>6947.89</v>
      </c>
      <c r="I663" s="11">
        <f>H663-G663</f>
        <v>-0.002985679999255808</v>
      </c>
    </row>
    <row r="664" spans="1:9">
      <c r="A664" s="3" t="s">
        <v>169</v>
      </c>
      <c r="B664" s="3" t="s">
        <v>515</v>
      </c>
      <c r="C664" s="3">
        <v>19</v>
      </c>
      <c r="D664" s="3">
        <v>19</v>
      </c>
      <c r="E664" s="8">
        <v>-6.467453000000001</v>
      </c>
      <c r="F664" s="8">
        <v>-6.467</v>
      </c>
      <c r="G664" s="11">
        <v>7591.36605396</v>
      </c>
      <c r="H664" s="11">
        <v>7591.4</v>
      </c>
      <c r="I664" s="11">
        <f>H664-G664</f>
        <v>0.033946040000046196</v>
      </c>
    </row>
    <row r="665" spans="1:9">
      <c r="A665" s="3" t="s">
        <v>169</v>
      </c>
      <c r="B665" s="3" t="s">
        <v>516</v>
      </c>
      <c r="C665" s="3">
        <v>17</v>
      </c>
      <c r="D665" s="3">
        <v>17</v>
      </c>
      <c r="E665" s="8">
        <v>-6.140180000000001</v>
      </c>
      <c r="F665" s="8">
        <v>-6.14</v>
      </c>
      <c r="G665" s="11">
        <v>7970.58207108</v>
      </c>
      <c r="H665" s="11">
        <v>7970.58</v>
      </c>
      <c r="I665" s="11">
        <f>H665-G665</f>
        <v>-0.002071079999950598</v>
      </c>
    </row>
    <row r="666" spans="1:9">
      <c r="A666" s="3" t="s">
        <v>169</v>
      </c>
      <c r="B666" s="3" t="s">
        <v>517</v>
      </c>
      <c r="C666" s="3">
        <v>19</v>
      </c>
      <c r="D666" s="3">
        <v>19</v>
      </c>
      <c r="E666" s="8">
        <v>-6.860180000000001</v>
      </c>
      <c r="F666" s="8">
        <v>-6.859999999999999</v>
      </c>
      <c r="G666" s="11">
        <v>7683.08192276</v>
      </c>
      <c r="H666" s="11">
        <v>7337.62</v>
      </c>
      <c r="I666" s="11">
        <f>H666-G666</f>
        <v>-345.46192275999965</v>
      </c>
    </row>
    <row r="667" spans="1:9">
      <c r="A667" s="3" t="s">
        <v>169</v>
      </c>
      <c r="B667" s="3" t="s">
        <v>518</v>
      </c>
      <c r="C667" s="3">
        <v>19</v>
      </c>
      <c r="D667" s="3">
        <v>19</v>
      </c>
      <c r="E667" s="8">
        <v>-6.860180000000001</v>
      </c>
      <c r="F667" s="8">
        <v>-6.859999999999999</v>
      </c>
      <c r="G667" s="11">
        <v>7011.958012319999</v>
      </c>
      <c r="H667" s="11">
        <v>7011.97</v>
      </c>
      <c r="I667" s="11">
        <f>H667-G667</f>
        <v>0.011987680000856926</v>
      </c>
    </row>
    <row r="668" spans="1:9">
      <c r="A668" s="3" t="s">
        <v>169</v>
      </c>
      <c r="B668" s="3" t="s">
        <v>519</v>
      </c>
      <c r="C668" s="3">
        <v>27</v>
      </c>
      <c r="D668" s="3">
        <v>27</v>
      </c>
      <c r="E668" s="8">
        <v>-9.818182</v>
      </c>
      <c r="F668" s="8">
        <v>-9.818</v>
      </c>
      <c r="G668" s="11">
        <v>7374.00762049</v>
      </c>
      <c r="H668" s="11">
        <v>7374.02</v>
      </c>
      <c r="I668" s="11">
        <f>H668-G668</f>
        <v>0.012379510000755545</v>
      </c>
    </row>
    <row r="669" spans="1:9">
      <c r="A669" s="3" t="s">
        <v>169</v>
      </c>
      <c r="B669" s="3" t="s">
        <v>520</v>
      </c>
      <c r="C669" s="3">
        <v>28</v>
      </c>
      <c r="D669" s="3">
        <v>28</v>
      </c>
      <c r="E669" s="8">
        <v>-9.818182</v>
      </c>
      <c r="F669" s="8">
        <v>-9.818</v>
      </c>
      <c r="G669" s="11">
        <v>9008.43068116</v>
      </c>
      <c r="H669" s="11">
        <v>9008.43</v>
      </c>
      <c r="I669" s="11">
        <f>H669-G669</f>
        <v>-0.0006811599996581208</v>
      </c>
    </row>
    <row r="670" spans="1:9">
      <c r="A670" s="3" t="s">
        <v>169</v>
      </c>
      <c r="B670" s="3" t="s">
        <v>521</v>
      </c>
      <c r="C670" s="3">
        <v>28</v>
      </c>
      <c r="D670" s="3">
        <v>28</v>
      </c>
      <c r="E670" s="8">
        <v>-9.818182</v>
      </c>
      <c r="F670" s="8">
        <v>-9.818</v>
      </c>
      <c r="G670" s="11">
        <v>11295.14663452</v>
      </c>
      <c r="H670" s="11">
        <v>11295.17</v>
      </c>
      <c r="I670" s="11">
        <f>H670-G670</f>
        <v>0.023365479999483796</v>
      </c>
    </row>
    <row r="671" spans="1:9">
      <c r="A671" s="3" t="s">
        <v>169</v>
      </c>
      <c r="B671" s="3" t="s">
        <v>522</v>
      </c>
      <c r="C671" s="3">
        <v>27</v>
      </c>
      <c r="D671" s="3">
        <v>27</v>
      </c>
      <c r="E671" s="8">
        <v>-9.818182</v>
      </c>
      <c r="F671" s="8">
        <v>-9.818000000000001</v>
      </c>
      <c r="G671" s="11">
        <v>7661.303869719999</v>
      </c>
      <c r="H671" s="11">
        <v>7661.31</v>
      </c>
      <c r="I671" s="11">
        <f>H671-G671</f>
        <v>0.006130280001343635</v>
      </c>
    </row>
    <row r="672" spans="1:9">
      <c r="A672" s="3" t="s">
        <v>169</v>
      </c>
      <c r="B672" s="3" t="s">
        <v>523</v>
      </c>
      <c r="C672" s="3">
        <v>19</v>
      </c>
      <c r="D672" s="3">
        <v>19</v>
      </c>
      <c r="E672" s="8">
        <v>-6.860180000000001</v>
      </c>
      <c r="F672" s="8">
        <v>-6.859999999999999</v>
      </c>
      <c r="G672" s="11">
        <v>4272.64580044</v>
      </c>
      <c r="H672" s="11">
        <v>4272.67</v>
      </c>
      <c r="I672" s="11">
        <f>H672-G672</f>
        <v>0.02419955999994272</v>
      </c>
    </row>
    <row r="673" spans="1:9">
      <c r="A673" s="3" t="s">
        <v>169</v>
      </c>
      <c r="B673" s="3" t="s">
        <v>524</v>
      </c>
      <c r="C673" s="3">
        <v>17</v>
      </c>
      <c r="D673" s="3">
        <v>17</v>
      </c>
      <c r="E673" s="8">
        <v>-6.140180000000001</v>
      </c>
      <c r="F673" s="8">
        <v>-6.14</v>
      </c>
      <c r="G673" s="11">
        <v>7941.0818044</v>
      </c>
      <c r="H673" s="11">
        <v>7941.08</v>
      </c>
      <c r="I673" s="11">
        <f>H673-G673</f>
        <v>-0.0018043999998553772</v>
      </c>
    </row>
    <row r="674" spans="1:9">
      <c r="A674" s="3" t="s">
        <v>169</v>
      </c>
      <c r="B674" s="3" t="s">
        <v>525</v>
      </c>
      <c r="C674" s="3">
        <v>17</v>
      </c>
      <c r="D674" s="3">
        <v>17</v>
      </c>
      <c r="E674" s="8">
        <v>-6.140180000000001</v>
      </c>
      <c r="F674" s="8">
        <v>-6.14</v>
      </c>
      <c r="G674" s="11">
        <v>8211.743201400001</v>
      </c>
      <c r="H674" s="11">
        <v>8211.74</v>
      </c>
      <c r="I674" s="11">
        <f>H674-G674</f>
        <v>-0.003201400000762078</v>
      </c>
    </row>
    <row r="675" spans="1:9">
      <c r="A675" s="3" t="s">
        <v>169</v>
      </c>
      <c r="B675" s="3" t="s">
        <v>526</v>
      </c>
      <c r="C675" s="3">
        <v>28</v>
      </c>
      <c r="D675" s="3">
        <v>28</v>
      </c>
      <c r="E675" s="8">
        <v>-9.818182</v>
      </c>
      <c r="F675" s="8">
        <v>-9.818000000000001</v>
      </c>
      <c r="G675" s="11">
        <v>7199.470509520001</v>
      </c>
      <c r="H675" s="11">
        <v>7199.48</v>
      </c>
      <c r="I675" s="11">
        <f>H675-G675</f>
        <v>0.009490479999840318</v>
      </c>
    </row>
    <row r="676" spans="1:9">
      <c r="A676" s="3" t="s">
        <v>169</v>
      </c>
      <c r="B676" s="3" t="s">
        <v>527</v>
      </c>
      <c r="C676" s="3">
        <v>27</v>
      </c>
      <c r="D676" s="3">
        <v>27</v>
      </c>
      <c r="E676" s="8">
        <v>-9.818182</v>
      </c>
      <c r="F676" s="8">
        <v>-9.818</v>
      </c>
      <c r="G676" s="11">
        <v>6719.091346810001</v>
      </c>
      <c r="H676" s="11">
        <v>6719.11</v>
      </c>
      <c r="I676" s="11">
        <f>H676-G676</f>
        <v>0.01865318999898591</v>
      </c>
    </row>
    <row r="677" spans="1:9">
      <c r="A677" s="3" t="s">
        <v>169</v>
      </c>
      <c r="B677" s="3" t="s">
        <v>528</v>
      </c>
      <c r="C677" s="3">
        <v>28</v>
      </c>
      <c r="D677" s="3">
        <v>28</v>
      </c>
      <c r="E677" s="8">
        <v>-9.818182</v>
      </c>
      <c r="F677" s="8">
        <v>-9.818000000000001</v>
      </c>
      <c r="G677" s="11">
        <v>7893.47105234</v>
      </c>
      <c r="H677" s="11">
        <v>7893.48</v>
      </c>
      <c r="I677" s="11">
        <f>H677-G677</f>
        <v>0.008947660000558244</v>
      </c>
    </row>
    <row r="678" spans="1:9">
      <c r="A678" s="3" t="s">
        <v>169</v>
      </c>
      <c r="B678" s="3" t="s">
        <v>529</v>
      </c>
      <c r="C678" s="3">
        <v>24</v>
      </c>
      <c r="D678" s="3">
        <v>24</v>
      </c>
      <c r="E678" s="8">
        <v>-8.600999</v>
      </c>
      <c r="F678" s="8">
        <v>-8.601000000000001</v>
      </c>
      <c r="G678" s="11">
        <v>7456.054388009999</v>
      </c>
      <c r="H678" s="11">
        <v>7456.03</v>
      </c>
      <c r="I678" s="11">
        <f>H678-G678</f>
        <v>-0.024388009999711358</v>
      </c>
    </row>
    <row r="679" spans="1:9">
      <c r="A679" s="3" t="s">
        <v>169</v>
      </c>
      <c r="B679" s="3" t="s">
        <v>530</v>
      </c>
      <c r="C679" s="3">
        <v>17</v>
      </c>
      <c r="D679" s="3">
        <v>17</v>
      </c>
      <c r="E679" s="8">
        <v>-6.140180000000001</v>
      </c>
      <c r="F679" s="8">
        <v>-6.14</v>
      </c>
      <c r="G679" s="11">
        <v>6983.9392272</v>
      </c>
      <c r="H679" s="11">
        <v>6983.94</v>
      </c>
      <c r="I679" s="11">
        <f>H679-G679</f>
        <v>0.0007728000000497559</v>
      </c>
    </row>
    <row r="680" spans="1:9">
      <c r="A680" s="3" t="s">
        <v>169</v>
      </c>
      <c r="B680" s="3" t="s">
        <v>531</v>
      </c>
      <c r="C680" s="3">
        <v>19</v>
      </c>
      <c r="D680" s="3">
        <v>19</v>
      </c>
      <c r="E680" s="8">
        <v>-6.860180000000001</v>
      </c>
      <c r="F680" s="8">
        <v>-6.859999999999999</v>
      </c>
      <c r="G680" s="11">
        <v>8323.36997924</v>
      </c>
      <c r="H680" s="11">
        <v>8323.360000000001</v>
      </c>
      <c r="I680" s="11">
        <f>H680-G680</f>
        <v>-0.009979239999665879</v>
      </c>
    </row>
    <row r="681" spans="1:9">
      <c r="A681" s="3" t="s">
        <v>169</v>
      </c>
      <c r="B681" s="3" t="s">
        <v>532</v>
      </c>
      <c r="C681" s="3">
        <v>21</v>
      </c>
      <c r="D681" s="3">
        <v>21</v>
      </c>
      <c r="E681" s="8">
        <v>-6.997362000000001</v>
      </c>
      <c r="F681" s="8">
        <v>-6.998</v>
      </c>
      <c r="G681" s="11">
        <v>7559.54231852</v>
      </c>
      <c r="H681" s="11">
        <v>7559.48</v>
      </c>
      <c r="I681" s="11">
        <f>H681-G681</f>
        <v>-0.0623185199992804</v>
      </c>
    </row>
    <row r="682" spans="1:9">
      <c r="A682" s="3" t="s">
        <v>169</v>
      </c>
      <c r="B682" s="3" t="s">
        <v>533</v>
      </c>
      <c r="C682" s="3">
        <v>28</v>
      </c>
      <c r="D682" s="3">
        <v>28</v>
      </c>
      <c r="E682" s="8">
        <v>-9.818182</v>
      </c>
      <c r="F682" s="8">
        <v>-9.818000000000001</v>
      </c>
      <c r="G682" s="11">
        <v>7750.65301734</v>
      </c>
      <c r="H682" s="11">
        <v>7750.650000000001</v>
      </c>
      <c r="I682" s="11">
        <f>H682-G682</f>
        <v>-0.0030173399991326733</v>
      </c>
    </row>
    <row r="683" spans="1:9">
      <c r="A683" s="3" t="s">
        <v>169</v>
      </c>
      <c r="B683" s="3" t="s">
        <v>534</v>
      </c>
      <c r="C683" s="3">
        <v>27</v>
      </c>
      <c r="D683" s="3">
        <v>27</v>
      </c>
      <c r="E683" s="8">
        <v>-9.818182</v>
      </c>
      <c r="F683" s="8">
        <v>-9.818</v>
      </c>
      <c r="G683" s="11">
        <v>8643.428186699999</v>
      </c>
      <c r="H683" s="11">
        <v>8643.43</v>
      </c>
      <c r="I683" s="11">
        <f>H683-G683</f>
        <v>0.001813300001231255</v>
      </c>
    </row>
    <row r="684" spans="1:9">
      <c r="A684" s="3" t="s">
        <v>169</v>
      </c>
      <c r="B684" s="3" t="s">
        <v>535</v>
      </c>
      <c r="C684" s="3">
        <v>28</v>
      </c>
      <c r="D684" s="3">
        <v>28</v>
      </c>
      <c r="E684" s="8">
        <v>-9.818182</v>
      </c>
      <c r="F684" s="8">
        <v>-9.818000000000001</v>
      </c>
      <c r="G684" s="11">
        <v>11530.15526166</v>
      </c>
      <c r="H684" s="11">
        <v>11530.16</v>
      </c>
      <c r="I684" s="11">
        <f>H684-G684</f>
        <v>0.0047383399996761</v>
      </c>
    </row>
    <row r="685" spans="1:9">
      <c r="A685" s="3" t="s">
        <v>169</v>
      </c>
      <c r="B685" s="3" t="s">
        <v>536</v>
      </c>
      <c r="C685" s="3">
        <v>28</v>
      </c>
      <c r="D685" s="3">
        <v>28</v>
      </c>
      <c r="E685" s="8">
        <v>-9.818182</v>
      </c>
      <c r="F685" s="8">
        <v>-9.818000000000001</v>
      </c>
      <c r="G685" s="11">
        <v>15101.93938618</v>
      </c>
      <c r="H685" s="11">
        <v>15101.94</v>
      </c>
      <c r="I685" s="11">
        <f>H685-G685</f>
        <v>0.0006138200005807448</v>
      </c>
    </row>
    <row r="686" spans="1:9">
      <c r="A686" s="3" t="s">
        <v>169</v>
      </c>
      <c r="B686" s="3" t="s">
        <v>537</v>
      </c>
      <c r="C686" s="3">
        <v>24</v>
      </c>
      <c r="D686" s="3">
        <v>24</v>
      </c>
      <c r="E686" s="8">
        <v>-8.600999</v>
      </c>
      <c r="F686" s="8">
        <v>-8.600999999999999</v>
      </c>
      <c r="G686" s="11">
        <v>10274.72971273</v>
      </c>
      <c r="H686" s="11">
        <v>10274.71</v>
      </c>
      <c r="I686" s="11">
        <f>H686-G686</f>
        <v>-0.019712730001629097</v>
      </c>
    </row>
    <row r="687" spans="1:9">
      <c r="A687" s="3" t="s">
        <v>169</v>
      </c>
      <c r="B687" s="3" t="s">
        <v>538</v>
      </c>
      <c r="C687" s="3">
        <v>24</v>
      </c>
      <c r="D687" s="3">
        <v>24</v>
      </c>
      <c r="E687" s="8">
        <v>-8.306454</v>
      </c>
      <c r="F687" s="8">
        <v>-8.306000000000001</v>
      </c>
      <c r="G687" s="11">
        <v>7851.21053099</v>
      </c>
      <c r="H687" s="11">
        <v>7851.23</v>
      </c>
      <c r="I687" s="11">
        <f>H687-G687</f>
        <v>0.019469009999738773</v>
      </c>
    </row>
    <row r="688" spans="1:9">
      <c r="A688" s="3" t="s">
        <v>169</v>
      </c>
      <c r="B688" s="3" t="s">
        <v>539</v>
      </c>
      <c r="C688" s="3">
        <v>19</v>
      </c>
      <c r="D688" s="3">
        <v>19</v>
      </c>
      <c r="E688" s="8">
        <v>-6.860180000000001</v>
      </c>
      <c r="F688" s="8">
        <v>-6.859999999999999</v>
      </c>
      <c r="G688" s="11">
        <v>6633.06720464</v>
      </c>
      <c r="H688" s="11">
        <v>6633.08</v>
      </c>
      <c r="I688" s="11">
        <f>H688-G688</f>
        <v>0.012795359999472566</v>
      </c>
    </row>
    <row r="689" spans="1:9">
      <c r="A689" s="3" t="s">
        <v>169</v>
      </c>
      <c r="B689" s="3" t="s">
        <v>540</v>
      </c>
      <c r="C689" s="3">
        <v>28</v>
      </c>
      <c r="D689" s="3">
        <v>28</v>
      </c>
      <c r="E689" s="8">
        <v>-9.818182</v>
      </c>
      <c r="F689" s="8">
        <v>-9.818000000000001</v>
      </c>
      <c r="G689" s="11">
        <v>2597.88931711</v>
      </c>
      <c r="H689" s="11">
        <v>2597.92</v>
      </c>
      <c r="I689" s="11">
        <f>H689-G689</f>
        <v>0.03068288999975266</v>
      </c>
    </row>
    <row r="690" spans="1:9">
      <c r="A690" s="3" t="s">
        <v>169</v>
      </c>
      <c r="B690" s="3" t="s">
        <v>541</v>
      </c>
      <c r="C690" s="3">
        <v>28</v>
      </c>
      <c r="D690" s="3">
        <v>28</v>
      </c>
      <c r="E690" s="8">
        <v>-9.818182</v>
      </c>
      <c r="F690" s="8">
        <v>-9.818000000000001</v>
      </c>
      <c r="G690" s="11">
        <v>2676.79793202</v>
      </c>
      <c r="H690" s="11">
        <v>2676.829999999999</v>
      </c>
      <c r="I690" s="11">
        <f>H690-G690</f>
        <v>0.032067979999283125</v>
      </c>
    </row>
    <row r="691" spans="1:9">
      <c r="A691" s="3" t="s">
        <v>169</v>
      </c>
      <c r="B691" s="3" t="s">
        <v>542</v>
      </c>
      <c r="C691" s="3">
        <v>28</v>
      </c>
      <c r="D691" s="3">
        <v>28</v>
      </c>
      <c r="E691" s="8">
        <v>-9.818182</v>
      </c>
      <c r="F691" s="8">
        <v>-9.818</v>
      </c>
      <c r="G691" s="11">
        <v>2833.79835486</v>
      </c>
      <c r="H691" s="11">
        <v>2833.820000000001</v>
      </c>
      <c r="I691" s="11">
        <f>H691-G691</f>
        <v>0.021645140000600804</v>
      </c>
    </row>
    <row r="692" spans="1:9">
      <c r="A692" s="3" t="s">
        <v>169</v>
      </c>
      <c r="B692" s="3" t="s">
        <v>543</v>
      </c>
      <c r="C692" s="3">
        <v>22</v>
      </c>
      <c r="D692" s="3">
        <v>22</v>
      </c>
      <c r="E692" s="8">
        <v>-7.880999</v>
      </c>
      <c r="F692" s="8">
        <v>-7.881</v>
      </c>
      <c r="G692" s="11">
        <v>5273.09843909</v>
      </c>
      <c r="H692" s="11">
        <v>5273.08</v>
      </c>
      <c r="I692" s="11">
        <f>H692-G692</f>
        <v>-0.018439090000356373</v>
      </c>
    </row>
    <row r="693" spans="1:9">
      <c r="A693" s="3" t="s">
        <v>169</v>
      </c>
      <c r="B693" s="3" t="s">
        <v>544</v>
      </c>
      <c r="C693" s="3">
        <v>27</v>
      </c>
      <c r="D693" s="3">
        <v>27</v>
      </c>
      <c r="E693" s="8">
        <v>-9.327273</v>
      </c>
      <c r="F693" s="8">
        <v>-9.327</v>
      </c>
      <c r="G693" s="11">
        <v>2147.34930002</v>
      </c>
      <c r="H693" s="11">
        <v>2147.39</v>
      </c>
      <c r="I693" s="11">
        <f>H693-G693</f>
        <v>0.04069998000022679</v>
      </c>
    </row>
    <row r="694" spans="1:9">
      <c r="A694" s="3" t="s">
        <v>169</v>
      </c>
      <c r="B694" s="3" t="s">
        <v>545</v>
      </c>
      <c r="C694" s="3">
        <v>17</v>
      </c>
      <c r="D694" s="3">
        <v>17</v>
      </c>
      <c r="E694" s="8">
        <v>-6.140180000000001</v>
      </c>
      <c r="F694" s="8">
        <v>-6.14</v>
      </c>
      <c r="G694" s="11">
        <v>7533.57595688</v>
      </c>
      <c r="H694" s="11">
        <v>7533.57</v>
      </c>
      <c r="I694" s="11">
        <f>H694-G694</f>
        <v>-0.005956880000667297</v>
      </c>
    </row>
    <row r="695" spans="1:9">
      <c r="A695" s="3" t="s">
        <v>169</v>
      </c>
      <c r="B695" s="3" t="s">
        <v>546</v>
      </c>
      <c r="C695" s="3">
        <v>17</v>
      </c>
      <c r="D695" s="3">
        <v>17</v>
      </c>
      <c r="E695" s="8">
        <v>-6.140180000000001</v>
      </c>
      <c r="F695" s="8">
        <v>-6.14</v>
      </c>
      <c r="G695" s="11">
        <v>7312.18103736</v>
      </c>
      <c r="H695" s="11">
        <v>7312.18</v>
      </c>
      <c r="I695" s="11">
        <f>H695-G695</f>
        <v>-0.0010373599998274585</v>
      </c>
    </row>
    <row r="696" spans="1:9">
      <c r="A696" s="3" t="s">
        <v>169</v>
      </c>
      <c r="B696" s="3" t="s">
        <v>547</v>
      </c>
      <c r="C696" s="3">
        <v>27</v>
      </c>
      <c r="D696" s="3">
        <v>27</v>
      </c>
      <c r="E696" s="8">
        <v>-9.818182</v>
      </c>
      <c r="F696" s="8">
        <v>-9.818</v>
      </c>
      <c r="G696" s="11">
        <v>8771.94795188</v>
      </c>
      <c r="H696" s="11">
        <v>8771.950000000001</v>
      </c>
      <c r="I696" s="11">
        <f>H696-G696</f>
        <v>0.0020481200008362066</v>
      </c>
    </row>
    <row r="697" spans="1:9">
      <c r="A697" s="3" t="s">
        <v>169</v>
      </c>
      <c r="B697" s="3" t="s">
        <v>548</v>
      </c>
      <c r="C697" s="3">
        <v>27</v>
      </c>
      <c r="D697" s="3">
        <v>27</v>
      </c>
      <c r="E697" s="8">
        <v>-9.818182</v>
      </c>
      <c r="F697" s="8">
        <v>-9.818</v>
      </c>
      <c r="G697" s="11">
        <v>5665.163065840001</v>
      </c>
      <c r="H697" s="11">
        <v>5665.18</v>
      </c>
      <c r="I697" s="11">
        <f>H697-G697</f>
        <v>0.016934159999436815</v>
      </c>
    </row>
    <row r="698" spans="1:9">
      <c r="A698" s="3" t="s">
        <v>169</v>
      </c>
      <c r="B698" s="3" t="s">
        <v>549</v>
      </c>
      <c r="C698" s="3">
        <v>23</v>
      </c>
      <c r="D698" s="3">
        <v>23</v>
      </c>
      <c r="E698" s="8">
        <v>-8.181818</v>
      </c>
      <c r="F698" s="8">
        <v>-8.182</v>
      </c>
      <c r="G698" s="11">
        <v>4956.525279009999</v>
      </c>
      <c r="H698" s="11">
        <v>4956.49</v>
      </c>
      <c r="I698" s="11">
        <f>H698-G698</f>
        <v>-0.035279009999612754</v>
      </c>
    </row>
    <row r="699" spans="1:9">
      <c r="A699" s="3" t="s">
        <v>169</v>
      </c>
      <c r="B699" s="3" t="s">
        <v>550</v>
      </c>
      <c r="C699" s="3">
        <v>28</v>
      </c>
      <c r="D699" s="3">
        <v>28</v>
      </c>
      <c r="E699" s="8">
        <v>-9.818182</v>
      </c>
      <c r="F699" s="8">
        <v>-9.818</v>
      </c>
      <c r="G699" s="11">
        <v>8588.921666820001</v>
      </c>
      <c r="H699" s="11">
        <v>8588.93</v>
      </c>
      <c r="I699" s="11">
        <f>H699-G699</f>
        <v>0.008333179999681306</v>
      </c>
    </row>
    <row r="700" spans="1:9">
      <c r="A700" s="3" t="s">
        <v>169</v>
      </c>
      <c r="B700" s="3" t="s">
        <v>551</v>
      </c>
      <c r="C700" s="3">
        <v>28</v>
      </c>
      <c r="D700" s="3">
        <v>28</v>
      </c>
      <c r="E700" s="8">
        <v>-9.818182</v>
      </c>
      <c r="F700" s="8">
        <v>-9.818000000000001</v>
      </c>
      <c r="G700" s="11">
        <v>3366.54629868</v>
      </c>
      <c r="H700" s="11">
        <v>3366.570000000001</v>
      </c>
      <c r="I700" s="11">
        <f>H700-G700</f>
        <v>0.02370132000078229</v>
      </c>
    </row>
    <row r="701" spans="1:9">
      <c r="A701" s="3" t="s">
        <v>169</v>
      </c>
      <c r="B701" s="3" t="s">
        <v>552</v>
      </c>
      <c r="C701" s="3">
        <v>19</v>
      </c>
      <c r="D701" s="3">
        <v>19</v>
      </c>
      <c r="E701" s="8">
        <v>-6.860180000000001</v>
      </c>
      <c r="F701" s="8">
        <v>-6.859999999999999</v>
      </c>
      <c r="G701" s="11">
        <v>6985.2173216</v>
      </c>
      <c r="H701" s="11">
        <v>6985.219999999999</v>
      </c>
      <c r="I701" s="11">
        <f>H701-G701</f>
        <v>0.002678399999240355</v>
      </c>
    </row>
    <row r="702" spans="1:9">
      <c r="A702" s="3" t="s">
        <v>169</v>
      </c>
      <c r="B702" s="3" t="s">
        <v>553</v>
      </c>
      <c r="C702" s="3">
        <v>23</v>
      </c>
      <c r="D702" s="3">
        <v>23</v>
      </c>
      <c r="E702" s="8">
        <v>-8.300180000000001</v>
      </c>
      <c r="F702" s="8">
        <v>-8.300000000000001</v>
      </c>
      <c r="G702" s="11">
        <v>6638.41674732</v>
      </c>
      <c r="H702" s="11">
        <v>6638.43</v>
      </c>
      <c r="I702" s="11">
        <f>H702-G702</f>
        <v>0.013252680000732653</v>
      </c>
    </row>
    <row r="703" spans="1:9">
      <c r="A703" s="3" t="s">
        <v>169</v>
      </c>
      <c r="B703" s="3" t="s">
        <v>554</v>
      </c>
      <c r="C703" s="3">
        <v>28</v>
      </c>
      <c r="D703" s="3">
        <v>28</v>
      </c>
      <c r="E703" s="8">
        <v>-9.818182</v>
      </c>
      <c r="F703" s="8">
        <v>-9.818000000000001</v>
      </c>
      <c r="G703" s="11">
        <v>7992.486971159999</v>
      </c>
      <c r="H703" s="11">
        <v>7992.48</v>
      </c>
      <c r="I703" s="11">
        <f>H703-G703</f>
        <v>-0.006971159999920928</v>
      </c>
    </row>
    <row r="704" spans="1:9">
      <c r="A704" s="3" t="s">
        <v>169</v>
      </c>
      <c r="B704" s="3" t="s">
        <v>555</v>
      </c>
      <c r="C704" s="3">
        <v>28</v>
      </c>
      <c r="D704" s="3">
        <v>28</v>
      </c>
      <c r="E704" s="8">
        <v>-9.818182</v>
      </c>
      <c r="F704" s="8">
        <v>-9.818</v>
      </c>
      <c r="G704" s="11">
        <v>8379.634132560001</v>
      </c>
      <c r="H704" s="11">
        <v>8379.639999999999</v>
      </c>
      <c r="I704" s="11">
        <f>H704-G704</f>
        <v>0.0058674399988376535</v>
      </c>
    </row>
    <row r="705" spans="1:9">
      <c r="A705" s="3" t="s">
        <v>169</v>
      </c>
      <c r="B705" s="3" t="s">
        <v>556</v>
      </c>
      <c r="C705" s="3">
        <v>28</v>
      </c>
      <c r="D705" s="3">
        <v>28</v>
      </c>
      <c r="E705" s="8">
        <v>-9.818182</v>
      </c>
      <c r="F705" s="8">
        <v>-9.818000000000001</v>
      </c>
      <c r="G705" s="11">
        <v>6267.22073218</v>
      </c>
      <c r="H705" s="11">
        <v>6267.23</v>
      </c>
      <c r="I705" s="11">
        <f>H705-G705</f>
        <v>0.009267819999877247</v>
      </c>
    </row>
    <row r="706" spans="1:9">
      <c r="A706" s="3" t="s">
        <v>169</v>
      </c>
      <c r="B706" s="3" t="s">
        <v>557</v>
      </c>
      <c r="C706" s="3">
        <v>27</v>
      </c>
      <c r="D706" s="3">
        <v>27</v>
      </c>
      <c r="E706" s="8">
        <v>-9.818182</v>
      </c>
      <c r="F706" s="8">
        <v>-9.818000000000001</v>
      </c>
      <c r="G706" s="11">
        <v>8156.46261966</v>
      </c>
      <c r="H706" s="11">
        <v>8156.46</v>
      </c>
      <c r="I706" s="11">
        <f>H706-G706</f>
        <v>-0.0026196600001640036</v>
      </c>
    </row>
    <row r="707" spans="1:9">
      <c r="A707" s="3" t="s">
        <v>169</v>
      </c>
      <c r="B707" s="3" t="s">
        <v>558</v>
      </c>
      <c r="C707" s="3">
        <v>28</v>
      </c>
      <c r="D707" s="3">
        <v>28</v>
      </c>
      <c r="E707" s="8">
        <v>-9.818182</v>
      </c>
      <c r="F707" s="8">
        <v>-9.818000000000001</v>
      </c>
      <c r="G707" s="11">
        <v>7663.16254064</v>
      </c>
      <c r="H707" s="11">
        <v>7663.17</v>
      </c>
      <c r="I707" s="11">
        <f>H707-G707</f>
        <v>0.0074593600002117455</v>
      </c>
    </row>
    <row r="708" spans="1:9">
      <c r="A708" s="3" t="s">
        <v>169</v>
      </c>
      <c r="B708" s="3" t="s">
        <v>559</v>
      </c>
      <c r="C708" s="3">
        <v>25</v>
      </c>
      <c r="D708" s="3">
        <v>25</v>
      </c>
      <c r="E708" s="8">
        <v>-8.535544000000002</v>
      </c>
      <c r="F708" s="8">
        <v>-8.536</v>
      </c>
      <c r="G708" s="11">
        <v>4855.22385043</v>
      </c>
      <c r="H708" s="11">
        <v>4855.2</v>
      </c>
      <c r="I708" s="11">
        <f>H708-G708</f>
        <v>-0.02385043000049336</v>
      </c>
    </row>
    <row r="709" spans="1:9">
      <c r="A709" s="3" t="s">
        <v>169</v>
      </c>
      <c r="B709" s="3" t="s">
        <v>560</v>
      </c>
      <c r="C709" s="3">
        <v>17</v>
      </c>
      <c r="D709" s="3">
        <v>17</v>
      </c>
      <c r="E709" s="8">
        <v>-6.140180000000001</v>
      </c>
      <c r="F709" s="8">
        <v>-6.14</v>
      </c>
      <c r="G709" s="11">
        <v>8179.22912204</v>
      </c>
      <c r="H709" s="11">
        <v>8179.23</v>
      </c>
      <c r="I709" s="11">
        <f>H709-G709</f>
        <v>0.0008779599993431475</v>
      </c>
    </row>
    <row r="710" spans="1:9">
      <c r="A710" s="3" t="s">
        <v>169</v>
      </c>
      <c r="B710" s="3" t="s">
        <v>561</v>
      </c>
      <c r="C710" s="3">
        <v>28</v>
      </c>
      <c r="D710" s="3">
        <v>28</v>
      </c>
      <c r="E710" s="8">
        <v>-9.818182</v>
      </c>
      <c r="F710" s="8">
        <v>-9.818000000000001</v>
      </c>
      <c r="G710" s="11">
        <v>9515.049045720001</v>
      </c>
      <c r="H710" s="11">
        <v>9515.059999999999</v>
      </c>
      <c r="I710" s="11">
        <f>H710-G710</f>
        <v>0.010954279998259153</v>
      </c>
    </row>
    <row r="711" spans="1:9">
      <c r="A711" s="3" t="s">
        <v>169</v>
      </c>
      <c r="B711" s="3" t="s">
        <v>562</v>
      </c>
      <c r="C711" s="3">
        <v>28</v>
      </c>
      <c r="D711" s="3">
        <v>28</v>
      </c>
      <c r="E711" s="8">
        <v>-9.818182</v>
      </c>
      <c r="F711" s="8">
        <v>-9.818000000000001</v>
      </c>
      <c r="G711" s="11">
        <v>11954.2468728</v>
      </c>
      <c r="H711" s="11">
        <v>11954.25</v>
      </c>
      <c r="I711" s="11">
        <f>H711-G711</f>
        <v>0.0031272000014723744</v>
      </c>
    </row>
    <row r="712" spans="1:9">
      <c r="A712" s="3" t="s">
        <v>169</v>
      </c>
      <c r="B712" s="3" t="s">
        <v>563</v>
      </c>
      <c r="C712" s="3">
        <v>28</v>
      </c>
      <c r="D712" s="3">
        <v>28</v>
      </c>
      <c r="E712" s="8">
        <v>-9.818182</v>
      </c>
      <c r="F712" s="8">
        <v>-9.817999999999998</v>
      </c>
      <c r="G712" s="11">
        <v>6886.03149489</v>
      </c>
      <c r="H712" s="11">
        <v>6886.04</v>
      </c>
      <c r="I712" s="11">
        <f>H712-G712</f>
        <v>0.008505109999532579</v>
      </c>
    </row>
    <row r="713" spans="1:9">
      <c r="A713" s="3" t="s">
        <v>169</v>
      </c>
      <c r="B713" s="3" t="s">
        <v>564</v>
      </c>
      <c r="C713" s="3">
        <v>28</v>
      </c>
      <c r="D713" s="3">
        <v>28</v>
      </c>
      <c r="E713" s="8">
        <v>-9.818182</v>
      </c>
      <c r="F713" s="8">
        <v>-9.817999999999998</v>
      </c>
      <c r="G713" s="11">
        <v>13976.52315636</v>
      </c>
      <c r="H713" s="11">
        <v>13976.53</v>
      </c>
      <c r="I713" s="11">
        <f>H713-G713</f>
        <v>0.0068436399997153785</v>
      </c>
    </row>
    <row r="714" spans="1:9">
      <c r="A714" s="3" t="s">
        <v>169</v>
      </c>
      <c r="B714" s="3" t="s">
        <v>565</v>
      </c>
      <c r="C714" s="3">
        <v>28</v>
      </c>
      <c r="D714" s="3">
        <v>28</v>
      </c>
      <c r="E714" s="8">
        <v>-9.818182</v>
      </c>
      <c r="F714" s="8">
        <v>-9.818</v>
      </c>
      <c r="G714" s="11">
        <v>5819.175537679999</v>
      </c>
      <c r="H714" s="11">
        <v>5819.2</v>
      </c>
      <c r="I714" s="11">
        <f>H714-G714</f>
        <v>0.02446232000056625</v>
      </c>
    </row>
    <row r="715" spans="1:9">
      <c r="A715" s="3" t="s">
        <v>169</v>
      </c>
      <c r="B715" s="3" t="s">
        <v>566</v>
      </c>
      <c r="C715" s="3">
        <v>21</v>
      </c>
      <c r="D715" s="3">
        <v>21</v>
      </c>
      <c r="E715" s="8">
        <v>-7.58018</v>
      </c>
      <c r="F715" s="8">
        <v>-7.58</v>
      </c>
      <c r="G715" s="11">
        <v>9147.994014280001</v>
      </c>
      <c r="H715" s="11">
        <v>9148</v>
      </c>
      <c r="I715" s="11">
        <f>H715-G715</f>
        <v>0.0059857199994439725</v>
      </c>
    </row>
    <row r="716" spans="1:9">
      <c r="A716" s="3" t="s">
        <v>169</v>
      </c>
      <c r="B716" s="3" t="s">
        <v>567</v>
      </c>
      <c r="C716" s="3">
        <v>17</v>
      </c>
      <c r="D716" s="3">
        <v>17</v>
      </c>
      <c r="E716" s="8">
        <v>-6.140180000000001</v>
      </c>
      <c r="F716" s="8">
        <v>-6.14</v>
      </c>
      <c r="G716" s="11">
        <v>4368.80328876</v>
      </c>
      <c r="H716" s="11">
        <v>4368.82</v>
      </c>
      <c r="I716" s="11">
        <f>H716-G716</f>
        <v>0.016711239999494865</v>
      </c>
    </row>
    <row r="717" spans="1:9">
      <c r="A717" s="3" t="s">
        <v>169</v>
      </c>
      <c r="B717" s="3" t="s">
        <v>568</v>
      </c>
      <c r="C717" s="3">
        <v>28</v>
      </c>
      <c r="D717" s="3">
        <v>28</v>
      </c>
      <c r="E717" s="8">
        <v>-9.818182</v>
      </c>
      <c r="F717" s="8">
        <v>-9.817999999999998</v>
      </c>
      <c r="G717" s="11">
        <v>17626.57594153</v>
      </c>
      <c r="H717" s="11">
        <v>17626.6</v>
      </c>
      <c r="I717" s="11">
        <f>H717-G717</f>
        <v>0.02405847000045469</v>
      </c>
    </row>
    <row r="718" spans="1:9">
      <c r="A718" s="3" t="s">
        <v>169</v>
      </c>
      <c r="B718" s="3" t="s">
        <v>569</v>
      </c>
      <c r="C718" s="3">
        <v>28</v>
      </c>
      <c r="D718" s="3">
        <v>28</v>
      </c>
      <c r="E718" s="8">
        <v>-9.818182</v>
      </c>
      <c r="F718" s="8">
        <v>-9.818</v>
      </c>
      <c r="G718" s="11">
        <v>11988.92750036</v>
      </c>
      <c r="H718" s="11">
        <v>11988.93</v>
      </c>
      <c r="I718" s="11">
        <f>H718-G718</f>
        <v>0.0024996400006784825</v>
      </c>
    </row>
    <row r="719" spans="1:9">
      <c r="A719" s="3" t="s">
        <v>169</v>
      </c>
      <c r="B719" s="3" t="s">
        <v>570</v>
      </c>
      <c r="C719" s="3">
        <v>28</v>
      </c>
      <c r="D719" s="3">
        <v>28</v>
      </c>
      <c r="E719" s="8">
        <v>-9.818182</v>
      </c>
      <c r="F719" s="8">
        <v>-9.818</v>
      </c>
      <c r="G719" s="11">
        <v>7246.39105074</v>
      </c>
      <c r="H719" s="11">
        <v>7246.42</v>
      </c>
      <c r="I719" s="11">
        <f>H719-G719</f>
        <v>0.028949260000445065</v>
      </c>
    </row>
    <row r="720" spans="1:9">
      <c r="A720" s="3" t="s">
        <v>169</v>
      </c>
      <c r="B720" s="3" t="s">
        <v>571</v>
      </c>
      <c r="C720" s="3">
        <v>28</v>
      </c>
      <c r="D720" s="3">
        <v>28</v>
      </c>
      <c r="E720" s="8">
        <v>-9.818182</v>
      </c>
      <c r="F720" s="8">
        <v>-9.818</v>
      </c>
      <c r="G720" s="11">
        <v>10084.05192988</v>
      </c>
      <c r="H720" s="11">
        <v>10084.06</v>
      </c>
      <c r="I720" s="11">
        <f>H720-G720</f>
        <v>0.008070120000411407</v>
      </c>
    </row>
    <row r="721" spans="1:9">
      <c r="A721" s="3" t="s">
        <v>169</v>
      </c>
      <c r="B721" s="3" t="s">
        <v>572</v>
      </c>
      <c r="C721" s="3">
        <v>28</v>
      </c>
      <c r="D721" s="3">
        <v>28</v>
      </c>
      <c r="E721" s="8">
        <v>-9.818182</v>
      </c>
      <c r="F721" s="8">
        <v>-9.818</v>
      </c>
      <c r="G721" s="11">
        <v>10684.68742652</v>
      </c>
      <c r="H721" s="11">
        <v>10684.68</v>
      </c>
      <c r="I721" s="11">
        <f>H721-G721</f>
        <v>-0.007426520000080927</v>
      </c>
    </row>
    <row r="722" spans="1:9">
      <c r="A722" s="3" t="s">
        <v>169</v>
      </c>
      <c r="B722" s="3" t="s">
        <v>573</v>
      </c>
      <c r="C722" s="3">
        <v>22</v>
      </c>
      <c r="D722" s="3">
        <v>22</v>
      </c>
      <c r="E722" s="8">
        <v>-7.979181000000001</v>
      </c>
      <c r="F722" s="8">
        <v>-7.979</v>
      </c>
      <c r="G722" s="11">
        <v>4655.19988104</v>
      </c>
      <c r="H722" s="11">
        <v>4655.21</v>
      </c>
      <c r="I722" s="11">
        <f>H722-G722</f>
        <v>0.010118959999999788</v>
      </c>
    </row>
    <row r="723" spans="1:9">
      <c r="A723" s="3" t="s">
        <v>169</v>
      </c>
      <c r="B723" s="3" t="s">
        <v>574</v>
      </c>
      <c r="C723" s="3">
        <v>22</v>
      </c>
      <c r="D723" s="3">
        <v>22</v>
      </c>
      <c r="E723" s="8">
        <v>-7.782817000000001</v>
      </c>
      <c r="F723" s="8">
        <v>-7.783</v>
      </c>
      <c r="G723" s="11">
        <v>2580.78306709</v>
      </c>
      <c r="H723" s="11">
        <v>2580.78</v>
      </c>
      <c r="I723" s="11">
        <f>H723-G723</f>
        <v>-0.0030670899996039225</v>
      </c>
    </row>
    <row r="724" spans="1:9">
      <c r="A724" s="3" t="s">
        <v>169</v>
      </c>
      <c r="B724" s="3" t="s">
        <v>575</v>
      </c>
      <c r="C724" s="3">
        <v>27</v>
      </c>
      <c r="D724" s="3">
        <v>27</v>
      </c>
      <c r="E724" s="8">
        <v>-9.818182</v>
      </c>
      <c r="F724" s="8">
        <v>-9.818</v>
      </c>
      <c r="G724" s="11">
        <v>11491.91600699</v>
      </c>
      <c r="H724" s="11">
        <v>11491.88</v>
      </c>
      <c r="I724" s="11">
        <f>H724-G724</f>
        <v>-0.03600699000162422</v>
      </c>
    </row>
    <row r="725" spans="1:9">
      <c r="A725" s="3" t="s">
        <v>169</v>
      </c>
      <c r="B725" s="3" t="s">
        <v>576</v>
      </c>
      <c r="C725" s="3">
        <v>28</v>
      </c>
      <c r="D725" s="3">
        <v>28</v>
      </c>
      <c r="E725" s="8">
        <v>-9.818182</v>
      </c>
      <c r="F725" s="8">
        <v>-9.818</v>
      </c>
      <c r="G725" s="11">
        <v>16899.66425404</v>
      </c>
      <c r="H725" s="11">
        <v>16899.68</v>
      </c>
      <c r="I725" s="11">
        <f>H725-G725</f>
        <v>0.015745960001368076</v>
      </c>
    </row>
    <row r="726" spans="1:9">
      <c r="A726" s="3" t="s">
        <v>169</v>
      </c>
      <c r="B726" s="3" t="s">
        <v>577</v>
      </c>
      <c r="C726" s="3">
        <v>28</v>
      </c>
      <c r="D726" s="3">
        <v>28</v>
      </c>
      <c r="E726" s="8">
        <v>-9.818182</v>
      </c>
      <c r="F726" s="8">
        <v>-9.818</v>
      </c>
      <c r="G726" s="11">
        <v>12344.63873424</v>
      </c>
      <c r="H726" s="11">
        <v>12344.65</v>
      </c>
      <c r="I726" s="11">
        <f>H726-G726</f>
        <v>0.011265760000242153</v>
      </c>
    </row>
    <row r="727" spans="1:9">
      <c r="A727" s="3" t="s">
        <v>169</v>
      </c>
      <c r="B727" s="3" t="s">
        <v>578</v>
      </c>
      <c r="C727" s="3">
        <v>27</v>
      </c>
      <c r="D727" s="3">
        <v>27</v>
      </c>
      <c r="E727" s="8">
        <v>-9.818182</v>
      </c>
      <c r="F727" s="8">
        <v>-9.818</v>
      </c>
      <c r="G727" s="11">
        <v>10273.08751963</v>
      </c>
      <c r="H727" s="11">
        <v>10273.08</v>
      </c>
      <c r="I727" s="11">
        <f>H727-G727</f>
        <v>-0.007519630000388133</v>
      </c>
    </row>
    <row r="728" spans="1:9">
      <c r="A728" s="3" t="s">
        <v>169</v>
      </c>
      <c r="B728" s="3" t="s">
        <v>579</v>
      </c>
      <c r="C728" s="3">
        <v>28</v>
      </c>
      <c r="D728" s="3">
        <v>28</v>
      </c>
      <c r="E728" s="8">
        <v>-9.818182</v>
      </c>
      <c r="F728" s="8">
        <v>-9.818000000000001</v>
      </c>
      <c r="G728" s="11">
        <v>11797.5959893</v>
      </c>
      <c r="H728" s="11">
        <v>11797.6</v>
      </c>
      <c r="I728" s="11">
        <f>H728-G728</f>
        <v>0.004010700000435463</v>
      </c>
    </row>
    <row r="729" spans="1:9">
      <c r="A729" s="3" t="s">
        <v>169</v>
      </c>
      <c r="B729" s="3" t="s">
        <v>580</v>
      </c>
      <c r="C729" s="3">
        <v>21</v>
      </c>
      <c r="D729" s="3">
        <v>21</v>
      </c>
      <c r="E729" s="8">
        <v>-7.58018</v>
      </c>
      <c r="F729" s="8">
        <v>-7.58</v>
      </c>
      <c r="G729" s="11">
        <v>9547.66340788</v>
      </c>
      <c r="H729" s="11">
        <v>9547.67</v>
      </c>
      <c r="I729" s="11">
        <f>H729-G729</f>
        <v>0.006592120000277646</v>
      </c>
    </row>
    <row r="730" spans="1:9">
      <c r="A730" s="3" t="s">
        <v>169</v>
      </c>
      <c r="B730" s="3" t="s">
        <v>581</v>
      </c>
      <c r="C730" s="3">
        <v>18</v>
      </c>
      <c r="D730" s="3">
        <v>18</v>
      </c>
      <c r="E730" s="8">
        <v>-6.342817</v>
      </c>
      <c r="F730" s="8">
        <v>-6.343</v>
      </c>
      <c r="G730" s="11">
        <v>8640.277228679999</v>
      </c>
      <c r="H730" s="11">
        <v>8640.23</v>
      </c>
      <c r="I730" s="11">
        <f>H730-G730</f>
        <v>-0.047228679999534506</v>
      </c>
    </row>
    <row r="731" spans="1:9">
      <c r="A731" s="3" t="s">
        <v>169</v>
      </c>
      <c r="B731" s="3" t="s">
        <v>582</v>
      </c>
      <c r="C731" s="3">
        <v>28</v>
      </c>
      <c r="D731" s="3">
        <v>28</v>
      </c>
      <c r="E731" s="8">
        <v>-9.818182</v>
      </c>
      <c r="F731" s="8">
        <v>-9.818000000000001</v>
      </c>
      <c r="G731" s="11">
        <v>9708.675228620001</v>
      </c>
      <c r="H731" s="11">
        <v>9708.690000000001</v>
      </c>
      <c r="I731" s="11">
        <f>H731-G731</f>
        <v>0.014771379999729106</v>
      </c>
    </row>
    <row r="732" spans="1:9">
      <c r="A732" s="3" t="s">
        <v>169</v>
      </c>
      <c r="B732" s="3" t="s">
        <v>583</v>
      </c>
      <c r="C732" s="3">
        <v>28</v>
      </c>
      <c r="D732" s="3">
        <v>28</v>
      </c>
      <c r="E732" s="8">
        <v>-9.818182</v>
      </c>
      <c r="F732" s="8">
        <v>-9.818000000000001</v>
      </c>
      <c r="G732" s="11">
        <v>8347.575421359999</v>
      </c>
      <c r="H732" s="11">
        <v>8347.59</v>
      </c>
      <c r="I732" s="11">
        <f>H732-G732</f>
        <v>0.014578640000763698</v>
      </c>
    </row>
    <row r="733" spans="1:9">
      <c r="A733" s="3" t="s">
        <v>169</v>
      </c>
      <c r="B733" s="3" t="s">
        <v>156</v>
      </c>
      <c r="C733" s="3">
        <v>28</v>
      </c>
      <c r="D733" s="3">
        <v>28</v>
      </c>
      <c r="E733" s="8">
        <v>-9.818182</v>
      </c>
      <c r="F733" s="8">
        <v>-9.818</v>
      </c>
      <c r="G733" s="11">
        <v>10381.81238272</v>
      </c>
      <c r="H733" s="11">
        <v>10381.81</v>
      </c>
      <c r="I733" s="11">
        <f>H733-G733</f>
        <v>-0.002382720000241534</v>
      </c>
    </row>
    <row r="734" spans="1:9">
      <c r="A734" s="3" t="s">
        <v>170</v>
      </c>
      <c r="B734" s="3" t="s">
        <v>153</v>
      </c>
      <c r="C734" s="3">
        <v>16</v>
      </c>
      <c r="D734" s="3">
        <v>16</v>
      </c>
      <c r="E734" s="8">
        <v>-2.045455</v>
      </c>
      <c r="F734" s="8">
        <v>-2.045</v>
      </c>
      <c r="G734" s="11">
        <v>2833.55441977</v>
      </c>
      <c r="H734" s="11">
        <v>2833.61</v>
      </c>
      <c r="I734" s="11">
        <f>H734-G734</f>
        <v>0.055580230000032316</v>
      </c>
    </row>
    <row r="735" spans="1:9">
      <c r="A735" s="3" t="s">
        <v>170</v>
      </c>
      <c r="B735" s="3" t="s">
        <v>221</v>
      </c>
      <c r="C735" s="3">
        <v>16</v>
      </c>
      <c r="D735" s="3">
        <v>16</v>
      </c>
      <c r="E735" s="8">
        <v>-2.045455</v>
      </c>
      <c r="F735" s="8">
        <v>-2.045</v>
      </c>
      <c r="G735" s="11">
        <v>1882.52805669</v>
      </c>
      <c r="H735" s="11">
        <v>1882.55</v>
      </c>
      <c r="I735" s="11">
        <f>H735-G735</f>
        <v>0.021943310000324345</v>
      </c>
    </row>
    <row r="736" spans="1:9">
      <c r="A736" s="3" t="s">
        <v>170</v>
      </c>
      <c r="B736" s="3" t="s">
        <v>222</v>
      </c>
      <c r="C736" s="3">
        <v>16</v>
      </c>
      <c r="D736" s="3">
        <v>16</v>
      </c>
      <c r="E736" s="8">
        <v>-2.045455</v>
      </c>
      <c r="F736" s="8">
        <v>-2.045</v>
      </c>
      <c r="G736" s="11">
        <v>1452.63012701</v>
      </c>
      <c r="H736" s="11">
        <v>1452.65</v>
      </c>
      <c r="I736" s="11">
        <f>H736-G736</f>
        <v>0.019872989999839774</v>
      </c>
    </row>
    <row r="737" spans="1:9">
      <c r="A737" s="3" t="s">
        <v>170</v>
      </c>
      <c r="B737" s="3" t="s">
        <v>223</v>
      </c>
      <c r="C737" s="3">
        <v>16</v>
      </c>
      <c r="D737" s="3">
        <v>16</v>
      </c>
      <c r="E737" s="8">
        <v>-2.045455</v>
      </c>
      <c r="F737" s="8">
        <v>-2.045</v>
      </c>
      <c r="G737" s="11">
        <v>30.59939979</v>
      </c>
      <c r="H737" s="11">
        <v>30.6</v>
      </c>
      <c r="I737" s="11">
        <f>H737-G737</f>
        <v>0.0006002100000017663</v>
      </c>
    </row>
    <row r="738" spans="1:9">
      <c r="A738" s="3" t="s">
        <v>170</v>
      </c>
      <c r="B738" s="3" t="s">
        <v>224</v>
      </c>
      <c r="C738" s="3">
        <v>16</v>
      </c>
      <c r="D738" s="3">
        <v>16</v>
      </c>
      <c r="E738" s="8">
        <v>-2.045455</v>
      </c>
      <c r="F738" s="8">
        <v>-2.045</v>
      </c>
      <c r="G738" s="11">
        <v>166.31064604</v>
      </c>
      <c r="H738" s="11">
        <v>166.31</v>
      </c>
      <c r="I738" s="11">
        <f>H738-G738</f>
        <v>-0.0006460399999923538</v>
      </c>
    </row>
    <row r="739" spans="1:9">
      <c r="A739" s="3" t="s">
        <v>170</v>
      </c>
      <c r="B739" s="3" t="s">
        <v>225</v>
      </c>
      <c r="C739" s="3">
        <v>16</v>
      </c>
      <c r="D739" s="3">
        <v>16</v>
      </c>
      <c r="E739" s="8">
        <v>-2.045455</v>
      </c>
      <c r="F739" s="8">
        <v>-2.045</v>
      </c>
      <c r="G739" s="11">
        <v>927.2737632199999</v>
      </c>
      <c r="H739" s="11">
        <v>927.33</v>
      </c>
      <c r="I739" s="11">
        <f>H739-G739</f>
        <v>0.05623678000017662</v>
      </c>
    </row>
    <row r="740" spans="1:9">
      <c r="A740" s="3" t="s">
        <v>170</v>
      </c>
      <c r="B740" s="3" t="s">
        <v>226</v>
      </c>
      <c r="C740" s="3">
        <v>16</v>
      </c>
      <c r="D740" s="3">
        <v>16</v>
      </c>
      <c r="E740" s="8">
        <v>-2.045455</v>
      </c>
      <c r="F740" s="8">
        <v>-2.045</v>
      </c>
      <c r="G740" s="11">
        <v>2301.95072113</v>
      </c>
      <c r="H740" s="11">
        <v>2302.01</v>
      </c>
      <c r="I740" s="11">
        <f>H740-G740</f>
        <v>0.05927887000007104</v>
      </c>
    </row>
    <row r="741" spans="1:9">
      <c r="A741" s="3" t="s">
        <v>170</v>
      </c>
      <c r="B741" s="3" t="s">
        <v>227</v>
      </c>
      <c r="C741" s="3">
        <v>15</v>
      </c>
      <c r="D741" s="3">
        <v>15</v>
      </c>
      <c r="E741" s="8">
        <v>-2.045455</v>
      </c>
      <c r="F741" s="8">
        <v>-2.045</v>
      </c>
      <c r="G741" s="11">
        <v>1571.946468</v>
      </c>
      <c r="H741" s="11">
        <v>1572</v>
      </c>
      <c r="I741" s="11">
        <f>H741-G741</f>
        <v>0.05353200000013203</v>
      </c>
    </row>
    <row r="742" spans="1:9">
      <c r="A742" s="3" t="s">
        <v>170</v>
      </c>
      <c r="B742" s="3" t="s">
        <v>228</v>
      </c>
      <c r="C742" s="3">
        <v>16</v>
      </c>
      <c r="D742" s="3">
        <v>16</v>
      </c>
      <c r="E742" s="8">
        <v>-2.045455</v>
      </c>
      <c r="F742" s="8">
        <v>-2.045</v>
      </c>
      <c r="G742" s="11">
        <v>667.2391293600001</v>
      </c>
      <c r="H742" s="11">
        <v>667.29</v>
      </c>
      <c r="I742" s="11">
        <f>H742-G742</f>
        <v>0.0508706399998573</v>
      </c>
    </row>
    <row r="743" spans="1:9">
      <c r="A743" s="3" t="s">
        <v>170</v>
      </c>
      <c r="B743" s="3" t="s">
        <v>229</v>
      </c>
      <c r="C743" s="3">
        <v>15</v>
      </c>
      <c r="D743" s="3">
        <v>15</v>
      </c>
      <c r="E743" s="8">
        <v>-2.045455</v>
      </c>
      <c r="F743" s="8">
        <v>-2.045</v>
      </c>
      <c r="G743" s="11">
        <v>699.30059356</v>
      </c>
      <c r="H743" s="11">
        <v>699.3200000000001</v>
      </c>
      <c r="I743" s="11">
        <f>H743-G743</f>
        <v>0.01940644000001157</v>
      </c>
    </row>
    <row r="744" spans="1:9">
      <c r="A744" s="3" t="s">
        <v>170</v>
      </c>
      <c r="B744" s="3" t="s">
        <v>230</v>
      </c>
      <c r="C744" s="3">
        <v>15</v>
      </c>
      <c r="D744" s="3">
        <v>15</v>
      </c>
      <c r="E744" s="8">
        <v>-2.045455</v>
      </c>
      <c r="F744" s="8">
        <v>-2.045</v>
      </c>
      <c r="G744" s="11">
        <v>809.5874569099999</v>
      </c>
      <c r="H744" s="11">
        <v>809.5999999999999</v>
      </c>
      <c r="I744" s="11">
        <f>H744-G744</f>
        <v>0.012543090000008306</v>
      </c>
    </row>
    <row r="745" spans="1:9">
      <c r="A745" s="3" t="s">
        <v>170</v>
      </c>
      <c r="B745" s="3" t="s">
        <v>231</v>
      </c>
      <c r="C745" s="3">
        <v>15</v>
      </c>
      <c r="D745" s="3">
        <v>15</v>
      </c>
      <c r="E745" s="8">
        <v>-2.045453999999999</v>
      </c>
      <c r="F745" s="8">
        <v>-2.046</v>
      </c>
      <c r="G745" s="11">
        <v>505.40398922</v>
      </c>
      <c r="H745" s="11">
        <v>505.3800000000001</v>
      </c>
      <c r="I745" s="11">
        <f>H745-G745</f>
        <v>-0.02398921999997583</v>
      </c>
    </row>
    <row r="746" spans="1:9">
      <c r="A746" s="3" t="s">
        <v>170</v>
      </c>
      <c r="B746" s="3" t="s">
        <v>232</v>
      </c>
      <c r="C746" s="3">
        <v>16</v>
      </c>
      <c r="D746" s="3">
        <v>16</v>
      </c>
      <c r="E746" s="8">
        <v>-2.045455</v>
      </c>
      <c r="F746" s="8">
        <v>-2.045</v>
      </c>
      <c r="G746" s="11">
        <v>2610.54488367</v>
      </c>
      <c r="H746" s="11">
        <v>2610.6</v>
      </c>
      <c r="I746" s="11">
        <f>H746-G746</f>
        <v>0.055116329999691516</v>
      </c>
    </row>
    <row r="747" spans="1:9">
      <c r="A747" s="3" t="s">
        <v>170</v>
      </c>
      <c r="B747" s="3" t="s">
        <v>233</v>
      </c>
      <c r="C747" s="3">
        <v>16</v>
      </c>
      <c r="D747" s="3">
        <v>16</v>
      </c>
      <c r="E747" s="8">
        <v>-2.045455</v>
      </c>
      <c r="F747" s="8">
        <v>-2.045</v>
      </c>
      <c r="G747" s="11">
        <v>3943.76755794</v>
      </c>
      <c r="H747" s="11">
        <v>3943.86</v>
      </c>
      <c r="I747" s="11">
        <f>H747-G747</f>
        <v>0.09244205999948463</v>
      </c>
    </row>
    <row r="748" spans="1:9">
      <c r="A748" s="3" t="s">
        <v>170</v>
      </c>
      <c r="B748" s="3" t="s">
        <v>234</v>
      </c>
      <c r="C748" s="3">
        <v>16</v>
      </c>
      <c r="D748" s="3">
        <v>16</v>
      </c>
      <c r="E748" s="8">
        <v>-2.045455</v>
      </c>
      <c r="F748" s="8">
        <v>-2.045</v>
      </c>
      <c r="G748" s="11">
        <v>2638.85061298</v>
      </c>
      <c r="H748" s="11">
        <v>2638.88</v>
      </c>
      <c r="I748" s="11">
        <f>H748-G748</f>
        <v>0.029387020000285702</v>
      </c>
    </row>
    <row r="749" spans="1:9">
      <c r="A749" s="3" t="s">
        <v>170</v>
      </c>
      <c r="B749" s="3" t="s">
        <v>235</v>
      </c>
      <c r="C749" s="3">
        <v>16</v>
      </c>
      <c r="D749" s="3">
        <v>16</v>
      </c>
      <c r="E749" s="8">
        <v>-2.045455</v>
      </c>
      <c r="F749" s="8">
        <v>-2.045</v>
      </c>
      <c r="G749" s="11">
        <v>650.64468172</v>
      </c>
      <c r="H749" s="11">
        <v>650.6999999999999</v>
      </c>
      <c r="I749" s="11">
        <f>H749-G749</f>
        <v>0.05531827999993766</v>
      </c>
    </row>
    <row r="750" spans="1:9">
      <c r="A750" s="3" t="s">
        <v>170</v>
      </c>
      <c r="B750" s="3" t="s">
        <v>236</v>
      </c>
      <c r="C750" s="3">
        <v>15</v>
      </c>
      <c r="D750" s="3">
        <v>15</v>
      </c>
      <c r="E750" s="8">
        <v>-2.045453999999999</v>
      </c>
      <c r="F750" s="8">
        <v>-2.046</v>
      </c>
      <c r="G750" s="11">
        <v>792.13360789</v>
      </c>
      <c r="H750" s="11">
        <v>792.0799999999999</v>
      </c>
      <c r="I750" s="11">
        <f>H750-G750</f>
        <v>-0.05360789000008026</v>
      </c>
    </row>
    <row r="751" spans="1:9">
      <c r="A751" s="3" t="s">
        <v>170</v>
      </c>
      <c r="B751" s="3" t="s">
        <v>237</v>
      </c>
      <c r="C751" s="3">
        <v>15</v>
      </c>
      <c r="D751" s="3">
        <v>15</v>
      </c>
      <c r="E751" s="8">
        <v>-2.045455</v>
      </c>
      <c r="F751" s="8">
        <v>-2.045</v>
      </c>
      <c r="G751" s="11">
        <v>697.2926412900001</v>
      </c>
      <c r="H751" s="11">
        <v>697.3299999999999</v>
      </c>
      <c r="I751" s="11">
        <f>H751-G751</f>
        <v>0.037358709999807616</v>
      </c>
    </row>
    <row r="752" spans="1:9">
      <c r="A752" s="3" t="s">
        <v>170</v>
      </c>
      <c r="B752" s="3" t="s">
        <v>238</v>
      </c>
      <c r="C752" s="3">
        <v>16</v>
      </c>
      <c r="D752" s="3">
        <v>16</v>
      </c>
      <c r="E752" s="8">
        <v>-2.045455</v>
      </c>
      <c r="F752" s="8">
        <v>-2.045</v>
      </c>
      <c r="G752" s="11">
        <v>937.1087961000001</v>
      </c>
      <c r="H752" s="11">
        <v>937.14</v>
      </c>
      <c r="I752" s="11">
        <f>H752-G752</f>
        <v>0.031203899999923124</v>
      </c>
    </row>
    <row r="753" spans="1:9">
      <c r="A753" s="3" t="s">
        <v>170</v>
      </c>
      <c r="B753" s="3" t="s">
        <v>239</v>
      </c>
      <c r="C753" s="3">
        <v>16</v>
      </c>
      <c r="D753" s="3">
        <v>16</v>
      </c>
      <c r="E753" s="8">
        <v>-2.045455</v>
      </c>
      <c r="F753" s="8">
        <v>-2.045</v>
      </c>
      <c r="G753" s="11">
        <v>701.8218369399999</v>
      </c>
      <c r="H753" s="11">
        <v>701.8499999999999</v>
      </c>
      <c r="I753" s="11">
        <f>H753-G753</f>
        <v>0.02816305999999713</v>
      </c>
    </row>
    <row r="754" spans="1:9">
      <c r="A754" s="3" t="s">
        <v>170</v>
      </c>
      <c r="B754" s="3" t="s">
        <v>240</v>
      </c>
      <c r="C754" s="3">
        <v>15</v>
      </c>
      <c r="D754" s="3">
        <v>15</v>
      </c>
      <c r="E754" s="8">
        <v>-2.045455</v>
      </c>
      <c r="F754" s="8">
        <v>-2.045</v>
      </c>
      <c r="G754" s="11">
        <v>914.9201978800002</v>
      </c>
      <c r="H754" s="11">
        <v>914.95</v>
      </c>
      <c r="I754" s="11">
        <f>H754-G754</f>
        <v>0.02980211999988569</v>
      </c>
    </row>
    <row r="755" spans="1:9">
      <c r="A755" s="3" t="s">
        <v>170</v>
      </c>
      <c r="B755" s="3" t="s">
        <v>241</v>
      </c>
      <c r="C755" s="3">
        <v>15</v>
      </c>
      <c r="D755" s="3">
        <v>15</v>
      </c>
      <c r="E755" s="8">
        <v>-2.045455</v>
      </c>
      <c r="F755" s="8">
        <v>-2.045</v>
      </c>
      <c r="G755" s="11">
        <v>2144.39724984</v>
      </c>
      <c r="H755" s="11">
        <v>2144.35</v>
      </c>
      <c r="I755" s="11">
        <f>H755-G755</f>
        <v>-0.04724983999994947</v>
      </c>
    </row>
    <row r="756" spans="1:9">
      <c r="A756" s="3" t="s">
        <v>170</v>
      </c>
      <c r="B756" s="3" t="s">
        <v>242</v>
      </c>
      <c r="C756" s="3">
        <v>16</v>
      </c>
      <c r="D756" s="3">
        <v>16</v>
      </c>
      <c r="E756" s="8">
        <v>-2.045455</v>
      </c>
      <c r="F756" s="8">
        <v>-2.045</v>
      </c>
      <c r="G756" s="11">
        <v>596.28321921</v>
      </c>
      <c r="H756" s="11">
        <v>596.3200000000001</v>
      </c>
      <c r="I756" s="11">
        <f>H756-G756</f>
        <v>0.03678079000007983</v>
      </c>
    </row>
    <row r="757" spans="1:9">
      <c r="A757" s="3" t="s">
        <v>170</v>
      </c>
      <c r="B757" s="3" t="s">
        <v>243</v>
      </c>
      <c r="C757" s="3">
        <v>16</v>
      </c>
      <c r="D757" s="3">
        <v>16</v>
      </c>
      <c r="E757" s="8">
        <v>-2.045455</v>
      </c>
      <c r="F757" s="8">
        <v>-2.045</v>
      </c>
      <c r="G757" s="11">
        <v>1223.79993386</v>
      </c>
      <c r="H757" s="11">
        <v>1223.8</v>
      </c>
      <c r="I757" s="11">
        <f>H757-G757</f>
        <v>6.613999994442565e-05</v>
      </c>
    </row>
    <row r="758" spans="1:9">
      <c r="A758" s="3" t="s">
        <v>170</v>
      </c>
      <c r="B758" s="3" t="s">
        <v>244</v>
      </c>
      <c r="C758" s="3">
        <v>16</v>
      </c>
      <c r="D758" s="3">
        <v>16</v>
      </c>
      <c r="E758" s="8">
        <v>-2.045455</v>
      </c>
      <c r="F758" s="8">
        <v>-2.045</v>
      </c>
      <c r="G758" s="11">
        <v>467.96005963</v>
      </c>
      <c r="H758" s="11">
        <v>467.96</v>
      </c>
      <c r="I758" s="11">
        <f>H758-G758</f>
        <v>-5.9630000009747164e-05</v>
      </c>
    </row>
    <row r="759" spans="1:9">
      <c r="A759" s="3" t="s">
        <v>170</v>
      </c>
      <c r="B759" s="3" t="s">
        <v>245</v>
      </c>
      <c r="C759" s="3">
        <v>16</v>
      </c>
      <c r="D759" s="3">
        <v>16</v>
      </c>
      <c r="E759" s="8">
        <v>-2.045455</v>
      </c>
      <c r="F759" s="8">
        <v>-2.045</v>
      </c>
      <c r="G759" s="11">
        <v>347.96209862</v>
      </c>
      <c r="H759" s="11">
        <v>347.97</v>
      </c>
      <c r="I759" s="11">
        <f>H759-G759</f>
        <v>0.007901380000021163</v>
      </c>
    </row>
    <row r="760" spans="1:9">
      <c r="A760" s="3" t="s">
        <v>170</v>
      </c>
      <c r="B760" s="3" t="s">
        <v>246</v>
      </c>
      <c r="C760" s="3">
        <v>16</v>
      </c>
      <c r="D760" s="3">
        <v>16</v>
      </c>
      <c r="E760" s="8">
        <v>-2.045455</v>
      </c>
      <c r="F760" s="8">
        <v>-2.045</v>
      </c>
      <c r="G760" s="11">
        <v>559.6739945700001</v>
      </c>
      <c r="H760" s="11">
        <v>559.7099999999999</v>
      </c>
      <c r="I760" s="11">
        <f>H760-G760</f>
        <v>0.03600542999981826</v>
      </c>
    </row>
    <row r="761" spans="1:9">
      <c r="A761" s="3" t="s">
        <v>170</v>
      </c>
      <c r="B761" s="3" t="s">
        <v>247</v>
      </c>
      <c r="C761" s="3">
        <v>10</v>
      </c>
      <c r="D761" s="3">
        <v>10</v>
      </c>
      <c r="E761" s="8">
        <v>-1.279204</v>
      </c>
      <c r="F761" s="8">
        <v>-1.279</v>
      </c>
      <c r="G761" s="11">
        <v>550.6334497600001</v>
      </c>
      <c r="H761" s="11">
        <v>550.6700000000001</v>
      </c>
      <c r="I761" s="11">
        <f>H761-G761</f>
        <v>0.03655023999999685</v>
      </c>
    </row>
    <row r="762" spans="1:9">
      <c r="A762" s="3" t="s">
        <v>170</v>
      </c>
      <c r="B762" s="3" t="s">
        <v>248</v>
      </c>
      <c r="C762" s="3">
        <v>15</v>
      </c>
      <c r="D762" s="3">
        <v>15</v>
      </c>
      <c r="E762" s="8">
        <v>-2.045455</v>
      </c>
      <c r="F762" s="8">
        <v>-2.045</v>
      </c>
      <c r="G762" s="11">
        <v>630.56470513</v>
      </c>
      <c r="H762" s="11">
        <v>630.5900000000001</v>
      </c>
      <c r="I762" s="11">
        <f>H762-G762</f>
        <v>0.025294870000152514</v>
      </c>
    </row>
    <row r="763" spans="1:9">
      <c r="A763" s="3" t="s">
        <v>170</v>
      </c>
      <c r="B763" s="3" t="s">
        <v>249</v>
      </c>
      <c r="C763" s="3">
        <v>16</v>
      </c>
      <c r="D763" s="3">
        <v>16</v>
      </c>
      <c r="E763" s="8">
        <v>-2.045455</v>
      </c>
      <c r="F763" s="8">
        <v>-2.045</v>
      </c>
      <c r="G763" s="11">
        <v>905.6958495599999</v>
      </c>
      <c r="H763" s="11">
        <v>905.6900000000001</v>
      </c>
      <c r="I763" s="11">
        <f>H763-G763</f>
        <v>-0.005849559999887788</v>
      </c>
    </row>
    <row r="764" spans="1:9">
      <c r="A764" s="3" t="s">
        <v>170</v>
      </c>
      <c r="B764" s="3" t="s">
        <v>250</v>
      </c>
      <c r="C764" s="3">
        <v>15</v>
      </c>
      <c r="D764" s="3">
        <v>15</v>
      </c>
      <c r="E764" s="8">
        <v>-2.045455</v>
      </c>
      <c r="F764" s="8">
        <v>-2.045</v>
      </c>
      <c r="G764" s="11">
        <v>444.67538368</v>
      </c>
      <c r="H764" s="11">
        <v>444.73</v>
      </c>
      <c r="I764" s="11">
        <f>H764-G764</f>
        <v>0.05461631999997962</v>
      </c>
    </row>
    <row r="765" spans="1:9">
      <c r="A765" s="3" t="s">
        <v>170</v>
      </c>
      <c r="B765" s="3" t="s">
        <v>251</v>
      </c>
      <c r="C765" s="3">
        <v>16</v>
      </c>
      <c r="D765" s="3">
        <v>16</v>
      </c>
      <c r="E765" s="8">
        <v>-2.045455</v>
      </c>
      <c r="F765" s="8">
        <v>-2.045</v>
      </c>
      <c r="G765" s="11">
        <v>398.2193497299999</v>
      </c>
      <c r="H765" s="11">
        <v>398.25</v>
      </c>
      <c r="I765" s="11">
        <f>H765-G765</f>
        <v>0.03065027000008058</v>
      </c>
    </row>
    <row r="766" spans="1:9">
      <c r="A766" s="3" t="s">
        <v>170</v>
      </c>
      <c r="B766" s="3" t="s">
        <v>252</v>
      </c>
      <c r="C766" s="3">
        <v>15</v>
      </c>
      <c r="D766" s="3">
        <v>15</v>
      </c>
      <c r="E766" s="8">
        <v>-2.045455</v>
      </c>
      <c r="F766" s="8">
        <v>-2.046</v>
      </c>
      <c r="G766" s="11">
        <v>135.8143605600001</v>
      </c>
      <c r="H766" s="11">
        <v>135.77</v>
      </c>
      <c r="I766" s="11">
        <f>H766-G766</f>
        <v>-0.04436056000008648</v>
      </c>
    </row>
    <row r="767" spans="1:9">
      <c r="A767" s="3" t="s">
        <v>170</v>
      </c>
      <c r="B767" s="3" t="s">
        <v>253</v>
      </c>
      <c r="C767" s="3">
        <v>13</v>
      </c>
      <c r="D767" s="3">
        <v>13</v>
      </c>
      <c r="E767" s="8">
        <v>-1.620113</v>
      </c>
      <c r="F767" s="8">
        <v>-1.62</v>
      </c>
      <c r="G767" s="11">
        <v>456.3657162700001</v>
      </c>
      <c r="H767" s="11">
        <v>456.38</v>
      </c>
      <c r="I767" s="11">
        <f>H767-G767</f>
        <v>0.014283729999931438</v>
      </c>
    </row>
    <row r="768" spans="1:9">
      <c r="A768" s="3" t="s">
        <v>170</v>
      </c>
      <c r="B768" s="3" t="s">
        <v>254</v>
      </c>
      <c r="C768" s="3">
        <v>16</v>
      </c>
      <c r="D768" s="3">
        <v>16</v>
      </c>
      <c r="E768" s="8">
        <v>-2.045455</v>
      </c>
      <c r="F768" s="8">
        <v>-2.045</v>
      </c>
      <c r="G768" s="11">
        <v>1001.73889415</v>
      </c>
      <c r="H768" s="11">
        <v>1001.78</v>
      </c>
      <c r="I768" s="11">
        <f>H768-G768</f>
        <v>0.04110584999989442</v>
      </c>
    </row>
    <row r="769" spans="1:9">
      <c r="A769" s="3" t="s">
        <v>170</v>
      </c>
      <c r="B769" s="3" t="s">
        <v>255</v>
      </c>
      <c r="C769" s="3">
        <v>16</v>
      </c>
      <c r="D769" s="3">
        <v>16</v>
      </c>
      <c r="E769" s="8">
        <v>-2.045455</v>
      </c>
      <c r="F769" s="8">
        <v>-2.045</v>
      </c>
      <c r="G769" s="11">
        <v>902.4335199700001</v>
      </c>
      <c r="H769" s="11">
        <v>902.47</v>
      </c>
      <c r="I769" s="11">
        <f>H769-G769</f>
        <v>0.036480029999893304</v>
      </c>
    </row>
    <row r="770" spans="1:9">
      <c r="A770" s="3" t="s">
        <v>170</v>
      </c>
      <c r="B770" s="3" t="s">
        <v>256</v>
      </c>
      <c r="C770" s="3">
        <v>16</v>
      </c>
      <c r="D770" s="3">
        <v>16</v>
      </c>
      <c r="E770" s="8">
        <v>-2.045455</v>
      </c>
      <c r="F770" s="8">
        <v>-2.045</v>
      </c>
      <c r="G770" s="11">
        <v>842.0377302900001</v>
      </c>
      <c r="H770" s="11">
        <v>842.08</v>
      </c>
      <c r="I770" s="11">
        <f>H770-G770</f>
        <v>0.042269709999914085</v>
      </c>
    </row>
    <row r="771" spans="1:9">
      <c r="A771" s="3" t="s">
        <v>170</v>
      </c>
      <c r="B771" s="3" t="s">
        <v>257</v>
      </c>
      <c r="C771" s="3">
        <v>16</v>
      </c>
      <c r="D771" s="3">
        <v>16</v>
      </c>
      <c r="E771" s="8">
        <v>-2.045455</v>
      </c>
      <c r="F771" s="8">
        <v>-2.045</v>
      </c>
      <c r="G771" s="11">
        <v>1071.04758183</v>
      </c>
      <c r="H771" s="11">
        <v>1071.1</v>
      </c>
      <c r="I771" s="11">
        <f>H771-G771</f>
        <v>0.05241816999978255</v>
      </c>
    </row>
    <row r="772" spans="1:9">
      <c r="A772" s="3" t="s">
        <v>170</v>
      </c>
      <c r="B772" s="3" t="s">
        <v>258</v>
      </c>
      <c r="C772" s="3">
        <v>16</v>
      </c>
      <c r="D772" s="3">
        <v>16</v>
      </c>
      <c r="E772" s="8">
        <v>-2.045455</v>
      </c>
      <c r="F772" s="8">
        <v>-2.045</v>
      </c>
      <c r="G772" s="11">
        <v>290.8957806299998</v>
      </c>
      <c r="H772" s="11">
        <v>290.9400000000001</v>
      </c>
      <c r="I772" s="11">
        <f>H772-G772</f>
        <v>0.0442193700002349</v>
      </c>
    </row>
    <row r="773" spans="1:9">
      <c r="A773" s="3" t="s">
        <v>170</v>
      </c>
      <c r="B773" s="3" t="s">
        <v>259</v>
      </c>
      <c r="C773" s="3">
        <v>15</v>
      </c>
      <c r="D773" s="3">
        <v>15</v>
      </c>
      <c r="E773" s="8">
        <v>-1.961022</v>
      </c>
      <c r="F773" s="8">
        <v>-1.961</v>
      </c>
      <c r="G773" s="11">
        <v>154.6870742999999</v>
      </c>
      <c r="H773" s="11">
        <v>154.73</v>
      </c>
      <c r="I773" s="11">
        <f>H773-G773</f>
        <v>0.04292570000009732</v>
      </c>
    </row>
    <row r="774" spans="1:9">
      <c r="A774" s="3" t="s">
        <v>170</v>
      </c>
      <c r="B774" s="3" t="s">
        <v>260</v>
      </c>
      <c r="C774" s="3">
        <v>13</v>
      </c>
      <c r="D774" s="3">
        <v>13</v>
      </c>
      <c r="E774" s="8">
        <v>-1.620113</v>
      </c>
      <c r="F774" s="8">
        <v>-1.62</v>
      </c>
      <c r="G774" s="11">
        <v>460.53575017</v>
      </c>
      <c r="H774" s="11">
        <v>460.5399999999999</v>
      </c>
      <c r="I774" s="11">
        <f>H774-G774</f>
        <v>0.004249829999935173</v>
      </c>
    </row>
    <row r="775" spans="1:9">
      <c r="A775" s="3" t="s">
        <v>170</v>
      </c>
      <c r="B775" s="3" t="s">
        <v>261</v>
      </c>
      <c r="C775" s="3">
        <v>16</v>
      </c>
      <c r="D775" s="3">
        <v>16</v>
      </c>
      <c r="E775" s="8">
        <v>-2.045455</v>
      </c>
      <c r="F775" s="8">
        <v>-2.045</v>
      </c>
      <c r="G775" s="11">
        <v>682.69035703</v>
      </c>
      <c r="H775" s="11">
        <v>682.72</v>
      </c>
      <c r="I775" s="11">
        <f>H775-G775</f>
        <v>0.029642970000054447</v>
      </c>
    </row>
    <row r="776" spans="1:9">
      <c r="A776" s="3" t="s">
        <v>170</v>
      </c>
      <c r="B776" s="3" t="s">
        <v>262</v>
      </c>
      <c r="C776" s="3">
        <v>16</v>
      </c>
      <c r="D776" s="3">
        <v>16</v>
      </c>
      <c r="E776" s="8">
        <v>-2.045455</v>
      </c>
      <c r="F776" s="8">
        <v>-2.045</v>
      </c>
      <c r="G776" s="11">
        <v>822.6180397999999</v>
      </c>
      <c r="H776" s="11">
        <v>822.6300000000001</v>
      </c>
      <c r="I776" s="11">
        <f>H776-G776</f>
        <v>0.011960200000203258</v>
      </c>
    </row>
    <row r="777" spans="1:9">
      <c r="A777" s="3" t="s">
        <v>170</v>
      </c>
      <c r="B777" s="3" t="s">
        <v>263</v>
      </c>
      <c r="C777" s="3">
        <v>16</v>
      </c>
      <c r="D777" s="3">
        <v>16</v>
      </c>
      <c r="E777" s="8">
        <v>-2.045455</v>
      </c>
      <c r="F777" s="8">
        <v>-2.045</v>
      </c>
      <c r="G777" s="11">
        <v>610.69576682</v>
      </c>
      <c r="H777" s="11">
        <v>610.7299999999999</v>
      </c>
      <c r="I777" s="11">
        <f>H777-G777</f>
        <v>0.0342331799998874</v>
      </c>
    </row>
    <row r="778" spans="1:9">
      <c r="A778" s="3" t="s">
        <v>170</v>
      </c>
      <c r="B778" s="3" t="s">
        <v>264</v>
      </c>
      <c r="C778" s="3">
        <v>15</v>
      </c>
      <c r="D778" s="3">
        <v>15</v>
      </c>
      <c r="E778" s="8">
        <v>-2.045453999999999</v>
      </c>
      <c r="F778" s="8">
        <v>-2.046</v>
      </c>
      <c r="G778" s="11">
        <v>468.8031751500001</v>
      </c>
      <c r="H778" s="11">
        <v>468.76</v>
      </c>
      <c r="I778" s="11">
        <f>H778-G778</f>
        <v>-0.043175150000138274</v>
      </c>
    </row>
    <row r="779" spans="1:9">
      <c r="A779" s="3" t="s">
        <v>170</v>
      </c>
      <c r="B779" s="3" t="s">
        <v>265</v>
      </c>
      <c r="C779" s="3">
        <v>16</v>
      </c>
      <c r="D779" s="3">
        <v>16</v>
      </c>
      <c r="E779" s="8">
        <v>-2.045455</v>
      </c>
      <c r="F779" s="8">
        <v>-2.045</v>
      </c>
      <c r="G779" s="11">
        <v>58.17302509000001</v>
      </c>
      <c r="H779" s="11">
        <v>58.19</v>
      </c>
      <c r="I779" s="11">
        <f>H779-G779</f>
        <v>0.01697490999998763</v>
      </c>
    </row>
    <row r="780" spans="1:9">
      <c r="A780" s="3" t="s">
        <v>170</v>
      </c>
      <c r="B780" s="3" t="s">
        <v>266</v>
      </c>
      <c r="C780" s="3">
        <v>8</v>
      </c>
      <c r="D780" s="3">
        <v>8</v>
      </c>
      <c r="E780" s="8">
        <v>-1.022727</v>
      </c>
      <c r="F780" s="8">
        <v>-1.023</v>
      </c>
      <c r="G780" s="11">
        <v>229.90066444</v>
      </c>
      <c r="H780" s="11">
        <v>229.8799999999999</v>
      </c>
      <c r="I780" s="11">
        <f>H780-G780</f>
        <v>-0.020664440000018658</v>
      </c>
    </row>
    <row r="781" spans="1:9">
      <c r="A781" s="3" t="s">
        <v>170</v>
      </c>
      <c r="B781" s="3" t="s">
        <v>267</v>
      </c>
      <c r="C781" s="3">
        <v>10</v>
      </c>
      <c r="D781" s="3">
        <v>10</v>
      </c>
      <c r="E781" s="8">
        <v>-1.279204</v>
      </c>
      <c r="F781" s="8">
        <v>-1.279</v>
      </c>
      <c r="G781" s="11">
        <v>266.9386645000001</v>
      </c>
      <c r="H781" s="11">
        <v>266.9499999999999</v>
      </c>
      <c r="I781" s="11">
        <f>H781-G781</f>
        <v>0.011335499999859167</v>
      </c>
    </row>
    <row r="782" spans="1:9">
      <c r="A782" s="3" t="s">
        <v>170</v>
      </c>
      <c r="B782" s="3" t="s">
        <v>268</v>
      </c>
      <c r="C782" s="3">
        <v>16</v>
      </c>
      <c r="D782" s="3">
        <v>16</v>
      </c>
      <c r="E782" s="8">
        <v>-2.045455</v>
      </c>
      <c r="F782" s="8">
        <v>-2.045</v>
      </c>
      <c r="G782" s="11">
        <v>712.18981278</v>
      </c>
      <c r="H782" s="11">
        <v>712.23</v>
      </c>
      <c r="I782" s="11">
        <f>H782-G782</f>
        <v>0.04018722000000707</v>
      </c>
    </row>
    <row r="783" spans="1:9">
      <c r="A783" s="3" t="s">
        <v>170</v>
      </c>
      <c r="B783" s="3" t="s">
        <v>269</v>
      </c>
      <c r="C783" s="3">
        <v>16</v>
      </c>
      <c r="D783" s="3">
        <v>16</v>
      </c>
      <c r="E783" s="8">
        <v>-2.045455</v>
      </c>
      <c r="F783" s="8">
        <v>-2.045</v>
      </c>
      <c r="G783" s="11">
        <v>506.0130799500001</v>
      </c>
      <c r="H783" s="11">
        <v>506.04</v>
      </c>
      <c r="I783" s="11">
        <f>H783-G783</f>
        <v>0.026920049999887397</v>
      </c>
    </row>
    <row r="784" spans="1:9">
      <c r="A784" s="3" t="s">
        <v>170</v>
      </c>
      <c r="B784" s="3" t="s">
        <v>270</v>
      </c>
      <c r="C784" s="3">
        <v>15</v>
      </c>
      <c r="D784" s="3">
        <v>15</v>
      </c>
      <c r="E784" s="8">
        <v>-2.045455</v>
      </c>
      <c r="F784" s="8">
        <v>-2.045</v>
      </c>
      <c r="G784" s="11">
        <v>675.5883963100001</v>
      </c>
      <c r="H784" s="11">
        <v>675.6299999999999</v>
      </c>
      <c r="I784" s="11">
        <f>H784-G784</f>
        <v>0.04160368999976072</v>
      </c>
    </row>
    <row r="785" spans="1:9">
      <c r="A785" s="3" t="s">
        <v>170</v>
      </c>
      <c r="B785" s="3" t="s">
        <v>271</v>
      </c>
      <c r="C785" s="3">
        <v>16</v>
      </c>
      <c r="D785" s="3">
        <v>16</v>
      </c>
      <c r="E785" s="8">
        <v>-2.045455</v>
      </c>
      <c r="F785" s="8">
        <v>-2.045</v>
      </c>
      <c r="G785" s="11">
        <v>2073.96749139</v>
      </c>
      <c r="H785" s="11">
        <v>2074.03</v>
      </c>
      <c r="I785" s="11">
        <f>H785-G785</f>
        <v>0.06250860999989527</v>
      </c>
    </row>
    <row r="786" spans="1:9">
      <c r="A786" s="3" t="s">
        <v>170</v>
      </c>
      <c r="B786" s="3" t="s">
        <v>272</v>
      </c>
      <c r="C786" s="3">
        <v>16</v>
      </c>
      <c r="D786" s="3">
        <v>16</v>
      </c>
      <c r="E786" s="8">
        <v>-2.045455</v>
      </c>
      <c r="F786" s="8">
        <v>-2.045</v>
      </c>
      <c r="G786" s="11">
        <v>375.7355884399999</v>
      </c>
      <c r="H786" s="11">
        <v>375.74</v>
      </c>
      <c r="I786" s="11">
        <f>H786-G786</f>
        <v>0.00441156000005094</v>
      </c>
    </row>
    <row r="787" spans="1:9">
      <c r="A787" s="3" t="s">
        <v>170</v>
      </c>
      <c r="B787" s="3" t="s">
        <v>273</v>
      </c>
      <c r="C787" s="3">
        <v>15</v>
      </c>
      <c r="D787" s="3">
        <v>15</v>
      </c>
      <c r="E787" s="8">
        <v>-2.045455</v>
      </c>
      <c r="F787" s="8">
        <v>-2.045</v>
      </c>
      <c r="G787" s="11">
        <v>16.39154804000006</v>
      </c>
      <c r="H787" s="11">
        <v>16.45000000000005</v>
      </c>
      <c r="I787" s="11">
        <f>H787-G787</f>
        <v>0.05845195999998509</v>
      </c>
    </row>
    <row r="788" spans="1:9">
      <c r="A788" s="3" t="s">
        <v>170</v>
      </c>
      <c r="B788" s="3" t="s">
        <v>274</v>
      </c>
      <c r="C788" s="3">
        <v>16</v>
      </c>
      <c r="D788" s="3">
        <v>16</v>
      </c>
      <c r="E788" s="8">
        <v>-2.045455</v>
      </c>
      <c r="F788" s="8">
        <v>-1.96</v>
      </c>
      <c r="G788" s="11">
        <v>1220.48991836</v>
      </c>
      <c r="H788" s="11">
        <v>847.1899999999999</v>
      </c>
      <c r="I788" s="11">
        <f>H788-G788</f>
        <v>-373.2999183600001</v>
      </c>
    </row>
    <row r="789" spans="1:9">
      <c r="A789" s="3" t="s">
        <v>170</v>
      </c>
      <c r="B789" s="3" t="s">
        <v>275</v>
      </c>
      <c r="C789" s="3">
        <v>17</v>
      </c>
      <c r="D789" s="3">
        <v>17</v>
      </c>
      <c r="E789" s="8">
        <v>-2.045455</v>
      </c>
      <c r="F789" s="8">
        <v>-2.046</v>
      </c>
      <c r="G789" s="11">
        <v>2113.957777</v>
      </c>
      <c r="H789" s="11">
        <v>2113.83</v>
      </c>
      <c r="I789" s="11">
        <f>H789-G789</f>
        <v>-0.12777700000015102</v>
      </c>
    </row>
    <row r="790" spans="1:9">
      <c r="A790" s="3" t="s">
        <v>170</v>
      </c>
      <c r="B790" s="3" t="s">
        <v>276</v>
      </c>
      <c r="C790" s="3">
        <v>16</v>
      </c>
      <c r="D790" s="3">
        <v>16</v>
      </c>
      <c r="E790" s="8">
        <v>-2.045455</v>
      </c>
      <c r="F790" s="8">
        <v>-2.045</v>
      </c>
      <c r="G790" s="11">
        <v>2198.75186693</v>
      </c>
      <c r="H790" s="11">
        <v>2198.82</v>
      </c>
      <c r="I790" s="11">
        <f>H790-G790</f>
        <v>0.06813307000038549</v>
      </c>
    </row>
    <row r="791" spans="1:9">
      <c r="A791" s="3" t="s">
        <v>170</v>
      </c>
      <c r="B791" s="3" t="s">
        <v>277</v>
      </c>
      <c r="C791" s="3">
        <v>16</v>
      </c>
      <c r="D791" s="3">
        <v>16</v>
      </c>
      <c r="E791" s="8">
        <v>-2.045455</v>
      </c>
      <c r="F791" s="8">
        <v>-2.045</v>
      </c>
      <c r="G791" s="11">
        <v>226.11713687</v>
      </c>
      <c r="H791" s="11">
        <v>226.17</v>
      </c>
      <c r="I791" s="11">
        <f>H791-G791</f>
        <v>0.05286312999999154</v>
      </c>
    </row>
    <row r="792" spans="1:9">
      <c r="A792" s="3" t="s">
        <v>170</v>
      </c>
      <c r="B792" s="3" t="s">
        <v>278</v>
      </c>
      <c r="C792" s="3">
        <v>16</v>
      </c>
      <c r="D792" s="3">
        <v>16</v>
      </c>
      <c r="E792" s="8">
        <v>-2.045455</v>
      </c>
      <c r="F792" s="8">
        <v>-2.045</v>
      </c>
      <c r="G792" s="11">
        <v>185.3208188200001</v>
      </c>
      <c r="H792" s="11">
        <v>185.37</v>
      </c>
      <c r="I792" s="11">
        <f>H792-G792</f>
        <v>0.049181179999891356</v>
      </c>
    </row>
    <row r="793" spans="1:9">
      <c r="A793" s="3" t="s">
        <v>170</v>
      </c>
      <c r="B793" s="3" t="s">
        <v>279</v>
      </c>
      <c r="C793" s="3">
        <v>16</v>
      </c>
      <c r="D793" s="3">
        <v>16</v>
      </c>
      <c r="E793" s="8">
        <v>-2.045454</v>
      </c>
      <c r="F793" s="8">
        <v>-2.046</v>
      </c>
      <c r="G793" s="11">
        <v>95.42216021999999</v>
      </c>
      <c r="H793" s="11">
        <v>95.37999999999997</v>
      </c>
      <c r="I793" s="11">
        <f>H793-G793</f>
        <v>-0.04216022000002795</v>
      </c>
    </row>
    <row r="794" spans="1:9">
      <c r="A794" s="3" t="s">
        <v>170</v>
      </c>
      <c r="B794" s="3" t="s">
        <v>280</v>
      </c>
      <c r="C794" s="3">
        <v>10</v>
      </c>
      <c r="D794" s="3">
        <v>10</v>
      </c>
      <c r="E794" s="8">
        <v>-1.279204</v>
      </c>
      <c r="F794" s="8">
        <v>-1.279</v>
      </c>
      <c r="G794" s="11">
        <v>164.16269478</v>
      </c>
      <c r="H794" s="11">
        <v>164.1700000000001</v>
      </c>
      <c r="I794" s="11">
        <f>H794-G794</f>
        <v>0.007305220000034751</v>
      </c>
    </row>
    <row r="795" spans="1:9">
      <c r="A795" s="3" t="s">
        <v>170</v>
      </c>
      <c r="B795" s="3" t="s">
        <v>281</v>
      </c>
      <c r="C795" s="3">
        <v>10</v>
      </c>
      <c r="D795" s="3">
        <v>10</v>
      </c>
      <c r="E795" s="8">
        <v>-1.279204</v>
      </c>
      <c r="F795" s="8">
        <v>-1.279</v>
      </c>
      <c r="G795" s="11">
        <v>87.38943347999998</v>
      </c>
      <c r="H795" s="11">
        <v>87.42000000000002</v>
      </c>
      <c r="I795" s="11">
        <f>H795-G795</f>
        <v>0.030566520000036235</v>
      </c>
    </row>
    <row r="796" spans="1:9">
      <c r="A796" s="3" t="s">
        <v>170</v>
      </c>
      <c r="B796" s="3" t="s">
        <v>282</v>
      </c>
      <c r="C796" s="3">
        <v>14</v>
      </c>
      <c r="D796" s="3">
        <v>14</v>
      </c>
      <c r="E796" s="8">
        <v>-1.879204</v>
      </c>
      <c r="F796" s="8">
        <v>-1.879</v>
      </c>
      <c r="G796" s="11">
        <v>380.6980510999999</v>
      </c>
      <c r="H796" s="11">
        <v>380.73</v>
      </c>
      <c r="I796" s="11">
        <f>H796-G796</f>
        <v>0.03194890000008854</v>
      </c>
    </row>
    <row r="797" spans="1:9">
      <c r="A797" s="3" t="s">
        <v>170</v>
      </c>
      <c r="B797" s="3" t="s">
        <v>283</v>
      </c>
      <c r="C797" s="3">
        <v>16</v>
      </c>
      <c r="D797" s="3">
        <v>16</v>
      </c>
      <c r="E797" s="8">
        <v>-2.045455</v>
      </c>
      <c r="F797" s="8">
        <v>-2.045</v>
      </c>
      <c r="G797" s="11">
        <v>1370.62733628</v>
      </c>
      <c r="H797" s="11">
        <v>1370.7</v>
      </c>
      <c r="I797" s="11">
        <f>H797-G797</f>
        <v>0.07266372000003685</v>
      </c>
    </row>
    <row r="798" spans="1:9">
      <c r="A798" s="3" t="s">
        <v>170</v>
      </c>
      <c r="B798" s="3" t="s">
        <v>284</v>
      </c>
      <c r="C798" s="3">
        <v>16</v>
      </c>
      <c r="D798" s="3">
        <v>16</v>
      </c>
      <c r="E798" s="8">
        <v>-2.045455</v>
      </c>
      <c r="F798" s="8">
        <v>-2.045</v>
      </c>
      <c r="G798" s="11">
        <v>319.7657844999999</v>
      </c>
      <c r="H798" s="11">
        <v>319.81</v>
      </c>
      <c r="I798" s="11">
        <f>H798-G798</f>
        <v>0.044215500000120755</v>
      </c>
    </row>
    <row r="799" spans="1:9">
      <c r="A799" s="3" t="s">
        <v>170</v>
      </c>
      <c r="B799" s="3" t="s">
        <v>285</v>
      </c>
      <c r="C799" s="3">
        <v>10</v>
      </c>
      <c r="D799" s="3">
        <v>10</v>
      </c>
      <c r="E799" s="8">
        <v>-1.279204</v>
      </c>
      <c r="F799" s="8">
        <v>-1.279</v>
      </c>
      <c r="G799" s="11">
        <v>784.49085582</v>
      </c>
      <c r="H799" s="11">
        <v>784.53</v>
      </c>
      <c r="I799" s="11">
        <f>H799-G799</f>
        <v>0.03914417999999387</v>
      </c>
    </row>
    <row r="800" spans="1:9">
      <c r="A800" s="3" t="s">
        <v>170</v>
      </c>
      <c r="B800" s="3" t="s">
        <v>286</v>
      </c>
      <c r="C800" s="3">
        <v>10</v>
      </c>
      <c r="D800" s="3">
        <v>10</v>
      </c>
      <c r="E800" s="8">
        <v>-1.279204</v>
      </c>
      <c r="F800" s="8">
        <v>-1.279</v>
      </c>
      <c r="G800" s="11">
        <v>163.07106608</v>
      </c>
      <c r="H800" s="11">
        <v>163.09</v>
      </c>
      <c r="I800" s="11">
        <f>H800-G800</f>
        <v>0.01893391999999494</v>
      </c>
    </row>
    <row r="801" spans="1:9">
      <c r="A801" s="3" t="s">
        <v>170</v>
      </c>
      <c r="B801" s="3" t="s">
        <v>287</v>
      </c>
      <c r="C801" s="3">
        <v>12</v>
      </c>
      <c r="D801" s="3">
        <v>12</v>
      </c>
      <c r="E801" s="8">
        <v>-1.620113</v>
      </c>
      <c r="F801" s="8">
        <v>-1.62</v>
      </c>
      <c r="G801" s="11">
        <v>509.30175674</v>
      </c>
      <c r="H801" s="11">
        <v>509.3099999999999</v>
      </c>
      <c r="I801" s="11">
        <f>H801-G801</f>
        <v>0.008243259999971997</v>
      </c>
    </row>
    <row r="802" spans="1:9">
      <c r="A802" s="3" t="s">
        <v>170</v>
      </c>
      <c r="B802" s="3" t="s">
        <v>288</v>
      </c>
      <c r="C802" s="3">
        <v>16</v>
      </c>
      <c r="D802" s="3">
        <v>16</v>
      </c>
      <c r="E802" s="8">
        <v>-2.045455</v>
      </c>
      <c r="F802" s="8">
        <v>-2.045</v>
      </c>
      <c r="G802" s="11">
        <v>559.56406984</v>
      </c>
      <c r="H802" s="11">
        <v>559.61</v>
      </c>
      <c r="I802" s="11">
        <f>H802-G802</f>
        <v>0.04593016000001171</v>
      </c>
    </row>
    <row r="803" spans="1:9">
      <c r="A803" s="3" t="s">
        <v>170</v>
      </c>
      <c r="B803" s="3" t="s">
        <v>289</v>
      </c>
      <c r="C803" s="3">
        <v>10</v>
      </c>
      <c r="D803" s="3">
        <v>10</v>
      </c>
      <c r="E803" s="8">
        <v>-1.279204</v>
      </c>
      <c r="F803" s="8">
        <v>-1.279</v>
      </c>
      <c r="G803" s="11">
        <v>218.81590304</v>
      </c>
      <c r="H803" s="11">
        <v>218.84</v>
      </c>
      <c r="I803" s="11">
        <f>H803-G803</f>
        <v>0.02409695999995165</v>
      </c>
    </row>
    <row r="804" spans="1:9">
      <c r="A804" s="3" t="s">
        <v>170</v>
      </c>
      <c r="B804" s="3" t="s">
        <v>290</v>
      </c>
      <c r="C804" s="3">
        <v>10</v>
      </c>
      <c r="D804" s="3">
        <v>10</v>
      </c>
      <c r="E804" s="8">
        <v>-1.279204</v>
      </c>
      <c r="F804" s="8">
        <v>-1.279</v>
      </c>
      <c r="G804" s="11">
        <v>325.54935702</v>
      </c>
      <c r="H804" s="11">
        <v>325.5700000000001</v>
      </c>
      <c r="I804" s="11">
        <f>H804-G804</f>
        <v>0.020642980000047828</v>
      </c>
    </row>
    <row r="805" spans="1:9">
      <c r="A805" s="3" t="s">
        <v>170</v>
      </c>
      <c r="B805" s="3" t="s">
        <v>291</v>
      </c>
      <c r="C805" s="3">
        <v>16</v>
      </c>
      <c r="D805" s="3">
        <v>16</v>
      </c>
      <c r="E805" s="8">
        <v>-2.045455</v>
      </c>
      <c r="F805" s="8">
        <v>-2.045</v>
      </c>
      <c r="G805" s="11">
        <v>198.8855886</v>
      </c>
      <c r="H805" s="11">
        <v>198.9100000000001</v>
      </c>
      <c r="I805" s="11">
        <f>H805-G805</f>
        <v>0.024411400000076355</v>
      </c>
    </row>
    <row r="806" spans="1:9">
      <c r="A806" s="3" t="s">
        <v>170</v>
      </c>
      <c r="B806" s="3" t="s">
        <v>292</v>
      </c>
      <c r="C806" s="3">
        <v>10</v>
      </c>
      <c r="D806" s="3">
        <v>10</v>
      </c>
      <c r="E806" s="8">
        <v>-1.279204</v>
      </c>
      <c r="F806" s="8">
        <v>-1.279</v>
      </c>
      <c r="G806" s="11">
        <v>460.6939830399999</v>
      </c>
      <c r="H806" s="11">
        <v>460.72</v>
      </c>
      <c r="I806" s="11">
        <f>H806-G806</f>
        <v>0.026016960000049494</v>
      </c>
    </row>
    <row r="807" spans="1:9">
      <c r="A807" s="3" t="s">
        <v>170</v>
      </c>
      <c r="B807" s="3" t="s">
        <v>293</v>
      </c>
      <c r="C807" s="3">
        <v>15</v>
      </c>
      <c r="D807" s="3">
        <v>15</v>
      </c>
      <c r="E807" s="8">
        <v>-1.961022</v>
      </c>
      <c r="F807" s="8">
        <v>-1.961</v>
      </c>
      <c r="G807" s="11">
        <v>238.9716204799999</v>
      </c>
      <c r="H807" s="11">
        <v>238.98</v>
      </c>
      <c r="I807" s="11">
        <f>H807-G807</f>
        <v>0.008379520000090679</v>
      </c>
    </row>
    <row r="808" spans="1:9">
      <c r="A808" s="3" t="s">
        <v>170</v>
      </c>
      <c r="B808" s="3" t="s">
        <v>294</v>
      </c>
      <c r="C808" s="3">
        <v>12</v>
      </c>
      <c r="D808" s="3">
        <v>12</v>
      </c>
      <c r="E808" s="8">
        <v>-1.620113</v>
      </c>
      <c r="F808" s="8">
        <v>-1.62</v>
      </c>
      <c r="G808" s="11">
        <v>183.12056811</v>
      </c>
      <c r="H808" s="11">
        <v>183.1400000000001</v>
      </c>
      <c r="I808" s="11">
        <f>H808-G808</f>
        <v>0.019431890000049634</v>
      </c>
    </row>
    <row r="809" spans="1:9">
      <c r="A809" s="3" t="s">
        <v>170</v>
      </c>
      <c r="B809" s="3" t="s">
        <v>295</v>
      </c>
      <c r="C809" s="3">
        <v>10</v>
      </c>
      <c r="D809" s="3">
        <v>10</v>
      </c>
      <c r="E809" s="8">
        <v>-1.279204</v>
      </c>
      <c r="F809" s="8">
        <v>-1.279</v>
      </c>
      <c r="G809" s="11">
        <v>174.7744357799999</v>
      </c>
      <c r="H809" s="11">
        <v>174.79</v>
      </c>
      <c r="I809" s="11">
        <f>H809-G809</f>
        <v>0.015564220000101159</v>
      </c>
    </row>
    <row r="810" spans="1:9">
      <c r="A810" s="3" t="s">
        <v>170</v>
      </c>
      <c r="B810" s="3" t="s">
        <v>296</v>
      </c>
      <c r="C810" s="3">
        <v>16</v>
      </c>
      <c r="D810" s="3">
        <v>16</v>
      </c>
      <c r="E810" s="8">
        <v>-2.045455</v>
      </c>
      <c r="F810" s="8">
        <v>-2.045</v>
      </c>
      <c r="G810" s="11">
        <v>272.93650476</v>
      </c>
      <c r="H810" s="11">
        <v>272.9799999999999</v>
      </c>
      <c r="I810" s="11">
        <f>H810-G810</f>
        <v>0.04349523999991334</v>
      </c>
    </row>
    <row r="811" spans="1:9">
      <c r="A811" s="3" t="s">
        <v>170</v>
      </c>
      <c r="B811" s="3" t="s">
        <v>297</v>
      </c>
      <c r="C811" s="3">
        <v>16</v>
      </c>
      <c r="D811" s="3">
        <v>16</v>
      </c>
      <c r="E811" s="8">
        <v>-2.045455</v>
      </c>
      <c r="F811" s="8">
        <v>-2.045</v>
      </c>
      <c r="G811" s="11">
        <v>378.11493846</v>
      </c>
      <c r="H811" s="11">
        <v>378.14</v>
      </c>
      <c r="I811" s="11">
        <f>H811-G811</f>
        <v>0.02506154000002425</v>
      </c>
    </row>
    <row r="812" spans="1:9">
      <c r="A812" s="3" t="s">
        <v>170</v>
      </c>
      <c r="B812" s="3" t="s">
        <v>298</v>
      </c>
      <c r="C812" s="3">
        <v>16</v>
      </c>
      <c r="D812" s="3">
        <v>16</v>
      </c>
      <c r="E812" s="8">
        <v>-2.045455</v>
      </c>
      <c r="F812" s="8">
        <v>-2.045</v>
      </c>
      <c r="G812" s="11">
        <v>687.83797585</v>
      </c>
      <c r="H812" s="11">
        <v>687.86</v>
      </c>
      <c r="I812" s="11">
        <f>H812-G812</f>
        <v>0.022024149999992915</v>
      </c>
    </row>
    <row r="813" spans="1:9">
      <c r="A813" s="3" t="s">
        <v>170</v>
      </c>
      <c r="B813" s="3" t="s">
        <v>299</v>
      </c>
      <c r="C813" s="3">
        <v>16</v>
      </c>
      <c r="D813" s="3">
        <v>16</v>
      </c>
      <c r="E813" s="8">
        <v>-2.045455</v>
      </c>
      <c r="F813" s="8">
        <v>-2.045</v>
      </c>
      <c r="G813" s="11">
        <v>494.7664654600001</v>
      </c>
      <c r="H813" s="11">
        <v>494.79</v>
      </c>
      <c r="I813" s="11">
        <f>H813-G813</f>
        <v>0.023534539999900517</v>
      </c>
    </row>
    <row r="814" spans="1:9">
      <c r="A814" s="3" t="s">
        <v>170</v>
      </c>
      <c r="B814" s="3" t="s">
        <v>300</v>
      </c>
      <c r="C814" s="3">
        <v>13</v>
      </c>
      <c r="D814" s="3">
        <v>13</v>
      </c>
      <c r="E814" s="8">
        <v>-1.620113</v>
      </c>
      <c r="F814" s="8">
        <v>-1.62</v>
      </c>
      <c r="G814" s="11">
        <v>136.39603009</v>
      </c>
      <c r="H814" s="11">
        <v>136.41</v>
      </c>
      <c r="I814" s="11">
        <f>H814-G814</f>
        <v>0.013969909999957508</v>
      </c>
    </row>
    <row r="815" spans="1:9">
      <c r="A815" s="3" t="s">
        <v>170</v>
      </c>
      <c r="B815" s="3" t="s">
        <v>301</v>
      </c>
      <c r="C815" s="3">
        <v>10</v>
      </c>
      <c r="D815" s="3">
        <v>10</v>
      </c>
      <c r="E815" s="8">
        <v>-1.279204</v>
      </c>
      <c r="F815" s="8">
        <v>-1.279</v>
      </c>
      <c r="G815" s="11">
        <v>91.24224395999997</v>
      </c>
      <c r="H815" s="11">
        <v>91.27000000000004</v>
      </c>
      <c r="I815" s="11">
        <f>H815-G815</f>
        <v>0.027756040000070925</v>
      </c>
    </row>
    <row r="816" spans="1:9">
      <c r="A816" s="3" t="s">
        <v>170</v>
      </c>
      <c r="B816" s="3" t="s">
        <v>302</v>
      </c>
      <c r="C816" s="3">
        <v>10</v>
      </c>
      <c r="D816" s="3">
        <v>10</v>
      </c>
      <c r="E816" s="8">
        <v>-1.279204</v>
      </c>
      <c r="F816" s="8">
        <v>-1.279</v>
      </c>
      <c r="G816" s="11">
        <v>179.7501539000001</v>
      </c>
      <c r="H816" s="11">
        <v>179.77</v>
      </c>
      <c r="I816" s="11">
        <f>H816-G816</f>
        <v>0.01984609999993836</v>
      </c>
    </row>
    <row r="817" spans="1:9">
      <c r="A817" s="3" t="s">
        <v>170</v>
      </c>
      <c r="B817" s="3" t="s">
        <v>303</v>
      </c>
      <c r="C817" s="3">
        <v>10</v>
      </c>
      <c r="D817" s="3">
        <v>10</v>
      </c>
      <c r="E817" s="8">
        <v>-1.279204</v>
      </c>
      <c r="F817" s="8">
        <v>-1.279</v>
      </c>
      <c r="G817" s="11">
        <v>128.14418854</v>
      </c>
      <c r="H817" s="11">
        <v>128.16</v>
      </c>
      <c r="I817" s="11">
        <f>H817-G817</f>
        <v>0.015811460000037414</v>
      </c>
    </row>
    <row r="818" spans="1:9">
      <c r="A818" s="3" t="s">
        <v>170</v>
      </c>
      <c r="B818" s="3" t="s">
        <v>304</v>
      </c>
      <c r="C818" s="3">
        <v>10</v>
      </c>
      <c r="D818" s="3">
        <v>10</v>
      </c>
      <c r="E818" s="8">
        <v>-1.279204</v>
      </c>
      <c r="F818" s="8">
        <v>-1.279</v>
      </c>
      <c r="G818" s="11">
        <v>134.59921124</v>
      </c>
      <c r="H818" s="11">
        <v>134.61</v>
      </c>
      <c r="I818" s="11">
        <f>H818-G818</f>
        <v>0.010788760000053799</v>
      </c>
    </row>
    <row r="819" spans="1:9">
      <c r="A819" s="3" t="s">
        <v>170</v>
      </c>
      <c r="B819" s="3" t="s">
        <v>305</v>
      </c>
      <c r="C819" s="3">
        <v>9</v>
      </c>
      <c r="D819" s="3">
        <v>9</v>
      </c>
      <c r="E819" s="8">
        <v>-1.239602</v>
      </c>
      <c r="F819" s="8">
        <v>-1.24</v>
      </c>
      <c r="G819" s="11">
        <v>138.4646962</v>
      </c>
      <c r="H819" s="11">
        <v>138.44</v>
      </c>
      <c r="I819" s="11">
        <f>H819-G819</f>
        <v>-0.024696200000022372</v>
      </c>
    </row>
    <row r="820" spans="1:9">
      <c r="A820" s="3" t="s">
        <v>170</v>
      </c>
      <c r="B820" s="3" t="s">
        <v>306</v>
      </c>
      <c r="C820" s="3">
        <v>9</v>
      </c>
      <c r="D820" s="3">
        <v>9</v>
      </c>
      <c r="E820" s="8">
        <v>-1.279204</v>
      </c>
      <c r="F820" s="8">
        <v>-1.28</v>
      </c>
      <c r="G820" s="11">
        <v>170.50945828</v>
      </c>
      <c r="H820" s="11">
        <v>170.42</v>
      </c>
      <c r="I820" s="11">
        <f>H820-G820</f>
        <v>-0.08945828000003075</v>
      </c>
    </row>
    <row r="821" spans="1:9">
      <c r="A821" s="3" t="s">
        <v>170</v>
      </c>
      <c r="B821" s="3" t="s">
        <v>307</v>
      </c>
      <c r="C821" s="3">
        <v>10</v>
      </c>
      <c r="D821" s="3">
        <v>10</v>
      </c>
      <c r="E821" s="8">
        <v>-1.279204</v>
      </c>
      <c r="F821" s="8">
        <v>-1.279</v>
      </c>
      <c r="G821" s="11">
        <v>121.6353936200001</v>
      </c>
      <c r="H821" s="11">
        <v>121.66</v>
      </c>
      <c r="I821" s="11">
        <f>H821-G821</f>
        <v>0.024606379999966066</v>
      </c>
    </row>
    <row r="822" spans="1:9">
      <c r="A822" s="3" t="s">
        <v>170</v>
      </c>
      <c r="B822" s="3" t="s">
        <v>308</v>
      </c>
      <c r="C822" s="3">
        <v>14</v>
      </c>
      <c r="D822" s="3">
        <v>14</v>
      </c>
      <c r="E822" s="8">
        <v>-1.918806</v>
      </c>
      <c r="F822" s="8">
        <v>-1.919</v>
      </c>
      <c r="G822" s="11">
        <v>288.7396524</v>
      </c>
      <c r="H822" s="11">
        <v>288.7199999999999</v>
      </c>
      <c r="I822" s="11">
        <f>H822-G822</f>
        <v>-0.01965240000004087</v>
      </c>
    </row>
    <row r="823" spans="1:9">
      <c r="A823" s="3" t="s">
        <v>170</v>
      </c>
      <c r="B823" s="3" t="s">
        <v>309</v>
      </c>
      <c r="C823" s="3">
        <v>13</v>
      </c>
      <c r="D823" s="3">
        <v>13</v>
      </c>
      <c r="E823" s="8">
        <v>-1.620113</v>
      </c>
      <c r="F823" s="8">
        <v>-1.62</v>
      </c>
      <c r="G823" s="11">
        <v>173.8818645600001</v>
      </c>
      <c r="H823" s="11">
        <v>173.8900000000001</v>
      </c>
      <c r="I823" s="11">
        <f>H823-G823</f>
        <v>0.00813544000001798</v>
      </c>
    </row>
    <row r="824" spans="1:9">
      <c r="A824" s="3" t="s">
        <v>170</v>
      </c>
      <c r="B824" s="3" t="s">
        <v>310</v>
      </c>
      <c r="C824" s="3">
        <v>16</v>
      </c>
      <c r="D824" s="3">
        <v>16</v>
      </c>
      <c r="E824" s="8">
        <v>-2.045455</v>
      </c>
      <c r="F824" s="8">
        <v>-2.045</v>
      </c>
      <c r="G824" s="11">
        <v>314.52142429</v>
      </c>
      <c r="H824" s="11">
        <v>314.56</v>
      </c>
      <c r="I824" s="11">
        <f>H824-G824</f>
        <v>0.03857570999997506</v>
      </c>
    </row>
    <row r="825" spans="1:9">
      <c r="A825" s="3" t="s">
        <v>170</v>
      </c>
      <c r="B825" s="3" t="s">
        <v>311</v>
      </c>
      <c r="C825" s="3">
        <v>16</v>
      </c>
      <c r="D825" s="3">
        <v>16</v>
      </c>
      <c r="E825" s="8">
        <v>-2.045455</v>
      </c>
      <c r="F825" s="8">
        <v>-2.045</v>
      </c>
      <c r="G825" s="11">
        <v>253.6561503299999</v>
      </c>
      <c r="H825" s="11">
        <v>253.7</v>
      </c>
      <c r="I825" s="11">
        <f>H825-G825</f>
        <v>0.043849670000042806</v>
      </c>
    </row>
    <row r="826" spans="1:9">
      <c r="A826" s="3" t="s">
        <v>170</v>
      </c>
      <c r="B826" s="3" t="s">
        <v>312</v>
      </c>
      <c r="C826" s="3">
        <v>16</v>
      </c>
      <c r="D826" s="3">
        <v>16</v>
      </c>
      <c r="E826" s="8">
        <v>-2.045455</v>
      </c>
      <c r="F826" s="8">
        <v>-2.045</v>
      </c>
      <c r="G826" s="11">
        <v>240.48815082</v>
      </c>
      <c r="H826" s="11">
        <v>240.47</v>
      </c>
      <c r="I826" s="11">
        <f>H826-G826</f>
        <v>-0.018150820000016665</v>
      </c>
    </row>
    <row r="827" spans="1:9">
      <c r="A827" s="3" t="s">
        <v>170</v>
      </c>
      <c r="B827" s="3" t="s">
        <v>313</v>
      </c>
      <c r="C827" s="3">
        <v>11</v>
      </c>
      <c r="D827" s="3">
        <v>11</v>
      </c>
      <c r="E827" s="8">
        <v>-1.363636</v>
      </c>
      <c r="F827" s="8">
        <v>-1.364</v>
      </c>
      <c r="G827" s="11">
        <v>388.47523506</v>
      </c>
      <c r="H827" s="11">
        <v>388.45</v>
      </c>
      <c r="I827" s="11">
        <f>H827-G827</f>
        <v>-0.025235059999999976</v>
      </c>
    </row>
    <row r="828" spans="1:9">
      <c r="A828" s="3" t="s">
        <v>170</v>
      </c>
      <c r="B828" s="3" t="s">
        <v>314</v>
      </c>
      <c r="C828" s="3">
        <v>10</v>
      </c>
      <c r="D828" s="3">
        <v>10</v>
      </c>
      <c r="E828" s="8">
        <v>-1.32142</v>
      </c>
      <c r="F828" s="8">
        <v>-1.322</v>
      </c>
      <c r="G828" s="11">
        <v>72.47353455999999</v>
      </c>
      <c r="H828" s="11">
        <v>72.41999999999999</v>
      </c>
      <c r="I828" s="11">
        <f>H828-G828</f>
        <v>-0.053534560000002784</v>
      </c>
    </row>
    <row r="829" spans="1:9">
      <c r="A829" s="3" t="s">
        <v>170</v>
      </c>
      <c r="B829" s="3" t="s">
        <v>315</v>
      </c>
      <c r="C829" s="3">
        <v>5</v>
      </c>
      <c r="D829" s="3">
        <v>5</v>
      </c>
      <c r="E829" s="8">
        <v>-0.639602</v>
      </c>
      <c r="F829" s="8">
        <v>-0.6400000000000001</v>
      </c>
      <c r="G829" s="11">
        <v>127.21475554</v>
      </c>
      <c r="H829" s="11">
        <v>127.16</v>
      </c>
      <c r="I829" s="11">
        <f>H829-G829</f>
        <v>-0.05475554000003058</v>
      </c>
    </row>
    <row r="830" spans="1:9">
      <c r="A830" s="3" t="s">
        <v>170</v>
      </c>
      <c r="B830" s="3" t="s">
        <v>316</v>
      </c>
      <c r="C830" s="3">
        <v>10</v>
      </c>
      <c r="D830" s="3">
        <v>10</v>
      </c>
      <c r="E830" s="8">
        <v>-1.279204</v>
      </c>
      <c r="F830" s="8">
        <v>-1.279</v>
      </c>
      <c r="G830" s="11">
        <v>1092.04296012</v>
      </c>
      <c r="H830" s="11">
        <v>1092.07</v>
      </c>
      <c r="I830" s="11">
        <f>H830-G830</f>
        <v>0.027039880000074845</v>
      </c>
    </row>
    <row r="831" spans="1:9">
      <c r="A831" s="3" t="s">
        <v>170</v>
      </c>
      <c r="B831" s="3" t="s">
        <v>317</v>
      </c>
      <c r="C831" s="3">
        <v>16</v>
      </c>
      <c r="D831" s="3">
        <v>16</v>
      </c>
      <c r="E831" s="8">
        <v>-2.045455</v>
      </c>
      <c r="F831" s="8">
        <v>-2.045</v>
      </c>
      <c r="G831" s="11">
        <v>602.7717763100001</v>
      </c>
      <c r="H831" s="11">
        <v>602.83</v>
      </c>
      <c r="I831" s="11">
        <f>H831-G831</f>
        <v>0.05822368999997707</v>
      </c>
    </row>
    <row r="832" spans="1:9">
      <c r="A832" s="3" t="s">
        <v>170</v>
      </c>
      <c r="B832" s="3" t="s">
        <v>318</v>
      </c>
      <c r="C832" s="3">
        <v>16</v>
      </c>
      <c r="D832" s="3">
        <v>16</v>
      </c>
      <c r="E832" s="8">
        <v>-2.045455</v>
      </c>
      <c r="F832" s="8">
        <v>-2.045</v>
      </c>
      <c r="G832" s="11">
        <v>278.8034433000002</v>
      </c>
      <c r="H832" s="11">
        <v>278.8399999999999</v>
      </c>
      <c r="I832" s="11">
        <f>H832-G832</f>
        <v>0.03655669999972133</v>
      </c>
    </row>
    <row r="833" spans="1:9">
      <c r="A833" s="3" t="s">
        <v>170</v>
      </c>
      <c r="B833" s="3" t="s">
        <v>319</v>
      </c>
      <c r="C833" s="3">
        <v>16</v>
      </c>
      <c r="D833" s="3">
        <v>16</v>
      </c>
      <c r="E833" s="8">
        <v>-2.045455</v>
      </c>
      <c r="F833" s="8">
        <v>-2.045</v>
      </c>
      <c r="G833" s="11">
        <v>707.6140461900001</v>
      </c>
      <c r="H833" s="11">
        <v>707.7200000000001</v>
      </c>
      <c r="I833" s="11">
        <f>H833-G833</f>
        <v>0.10595381000007364</v>
      </c>
    </row>
    <row r="834" spans="1:9">
      <c r="A834" s="3" t="s">
        <v>170</v>
      </c>
      <c r="B834" s="3" t="s">
        <v>320</v>
      </c>
      <c r="C834" s="3">
        <v>10</v>
      </c>
      <c r="D834" s="3">
        <v>10</v>
      </c>
      <c r="E834" s="8">
        <v>-1.279204</v>
      </c>
      <c r="F834" s="8">
        <v>-1.279</v>
      </c>
      <c r="G834" s="11">
        <v>137.21277308</v>
      </c>
      <c r="H834" s="11">
        <v>137.21</v>
      </c>
      <c r="I834" s="11">
        <f>H834-G834</f>
        <v>-0.002773079999968786</v>
      </c>
    </row>
    <row r="835" spans="1:9">
      <c r="A835" s="3" t="s">
        <v>170</v>
      </c>
      <c r="B835" s="3" t="s">
        <v>321</v>
      </c>
      <c r="C835" s="3">
        <v>12</v>
      </c>
      <c r="D835" s="3">
        <v>12</v>
      </c>
      <c r="E835" s="8">
        <v>-1.620113</v>
      </c>
      <c r="F835" s="8">
        <v>-1.62</v>
      </c>
      <c r="G835" s="11">
        <v>447.5468442799999</v>
      </c>
      <c r="H835" s="11">
        <v>447.56</v>
      </c>
      <c r="I835" s="11">
        <f>H835-G835</f>
        <v>0.013155720000099791</v>
      </c>
    </row>
    <row r="836" spans="1:9">
      <c r="A836" s="3" t="s">
        <v>170</v>
      </c>
      <c r="B836" s="3" t="s">
        <v>322</v>
      </c>
      <c r="C836" s="3">
        <v>12</v>
      </c>
      <c r="D836" s="3">
        <v>12</v>
      </c>
      <c r="E836" s="8">
        <v>-1.620113</v>
      </c>
      <c r="F836" s="8">
        <v>-1.62</v>
      </c>
      <c r="G836" s="11">
        <v>217.82866183</v>
      </c>
      <c r="H836" s="11">
        <v>217.8400000000001</v>
      </c>
      <c r="I836" s="11">
        <f>H836-G836</f>
        <v>0.011338170000072978</v>
      </c>
    </row>
    <row r="837" spans="1:9">
      <c r="A837" s="3" t="s">
        <v>170</v>
      </c>
      <c r="B837" s="3" t="s">
        <v>323</v>
      </c>
      <c r="C837" s="3">
        <v>12</v>
      </c>
      <c r="D837" s="3">
        <v>12</v>
      </c>
      <c r="E837" s="8">
        <v>-1.620113</v>
      </c>
      <c r="F837" s="8">
        <v>-1.62</v>
      </c>
      <c r="G837" s="11">
        <v>237.0087864400001</v>
      </c>
      <c r="H837" s="11">
        <v>237.03</v>
      </c>
      <c r="I837" s="11">
        <f>H837-G837</f>
        <v>0.021213559999921472</v>
      </c>
    </row>
    <row r="838" spans="1:9">
      <c r="A838" s="3" t="s">
        <v>170</v>
      </c>
      <c r="B838" s="3" t="s">
        <v>324</v>
      </c>
      <c r="C838" s="3">
        <v>10</v>
      </c>
      <c r="D838" s="3">
        <v>10</v>
      </c>
      <c r="E838" s="8">
        <v>-1.279204</v>
      </c>
      <c r="F838" s="8">
        <v>-1.279</v>
      </c>
      <c r="G838" s="11">
        <v>299.3711873</v>
      </c>
      <c r="H838" s="11">
        <v>299.4</v>
      </c>
      <c r="I838" s="11">
        <f>H838-G838</f>
        <v>0.028812700000003133</v>
      </c>
    </row>
    <row r="839" spans="1:9">
      <c r="A839" s="3" t="s">
        <v>170</v>
      </c>
      <c r="B839" s="3" t="s">
        <v>325</v>
      </c>
      <c r="C839" s="3">
        <v>10</v>
      </c>
      <c r="D839" s="3">
        <v>10</v>
      </c>
      <c r="E839" s="8">
        <v>-1.279204</v>
      </c>
      <c r="F839" s="8">
        <v>-1.279</v>
      </c>
      <c r="G839" s="11">
        <v>309.4436557600001</v>
      </c>
      <c r="H839" s="11">
        <v>309.47</v>
      </c>
      <c r="I839" s="11">
        <f>H839-G839</f>
        <v>0.026344239999957608</v>
      </c>
    </row>
    <row r="840" spans="1:9">
      <c r="A840" s="3" t="s">
        <v>170</v>
      </c>
      <c r="B840" s="3" t="s">
        <v>326</v>
      </c>
      <c r="C840" s="3">
        <v>10</v>
      </c>
      <c r="D840" s="3">
        <v>10</v>
      </c>
      <c r="E840" s="8">
        <v>-1.279204</v>
      </c>
      <c r="F840" s="8">
        <v>-1.279</v>
      </c>
      <c r="G840" s="11">
        <v>479.356124</v>
      </c>
      <c r="H840" s="11">
        <v>479.38</v>
      </c>
      <c r="I840" s="11">
        <f>H840-G840</f>
        <v>0.023876000000029762</v>
      </c>
    </row>
    <row r="841" spans="1:9">
      <c r="A841" s="3" t="s">
        <v>170</v>
      </c>
      <c r="B841" s="3" t="s">
        <v>327</v>
      </c>
      <c r="C841" s="3">
        <v>15</v>
      </c>
      <c r="D841" s="3">
        <v>15</v>
      </c>
      <c r="E841" s="8">
        <v>-1.920113</v>
      </c>
      <c r="F841" s="8">
        <v>-1.92</v>
      </c>
      <c r="G841" s="11">
        <v>839.6150025300001</v>
      </c>
      <c r="H841" s="11">
        <v>839.6399999999999</v>
      </c>
      <c r="I841" s="11">
        <f>H841-G841</f>
        <v>0.024997469999789246</v>
      </c>
    </row>
    <row r="842" spans="1:9">
      <c r="A842" s="3" t="s">
        <v>170</v>
      </c>
      <c r="B842" s="3" t="s">
        <v>328</v>
      </c>
      <c r="C842" s="3">
        <v>10</v>
      </c>
      <c r="D842" s="3">
        <v>10</v>
      </c>
      <c r="E842" s="8">
        <v>-1.279204</v>
      </c>
      <c r="F842" s="8">
        <v>-1.279</v>
      </c>
      <c r="G842" s="11">
        <v>246.84895484</v>
      </c>
      <c r="H842" s="11">
        <v>246.88</v>
      </c>
      <c r="I842" s="11">
        <f>H842-G842</f>
        <v>0.031045159999933958</v>
      </c>
    </row>
    <row r="843" spans="1:9">
      <c r="A843" s="3" t="s">
        <v>170</v>
      </c>
      <c r="B843" s="3" t="s">
        <v>329</v>
      </c>
      <c r="C843" s="3">
        <v>10</v>
      </c>
      <c r="D843" s="3">
        <v>10</v>
      </c>
      <c r="E843" s="8">
        <v>-1.279204</v>
      </c>
      <c r="F843" s="8">
        <v>-1.279</v>
      </c>
      <c r="G843" s="11">
        <v>244.1771161600001</v>
      </c>
      <c r="H843" s="11">
        <v>244.2300000000001</v>
      </c>
      <c r="I843" s="11">
        <f>H843-G843</f>
        <v>0.05288384000002111</v>
      </c>
    </row>
    <row r="844" spans="1:9">
      <c r="A844" s="3" t="s">
        <v>170</v>
      </c>
      <c r="B844" s="3" t="s">
        <v>330</v>
      </c>
      <c r="C844" s="3">
        <v>10</v>
      </c>
      <c r="D844" s="3">
        <v>10</v>
      </c>
      <c r="E844" s="8">
        <v>-1.279204</v>
      </c>
      <c r="F844" s="8">
        <v>-1.279</v>
      </c>
      <c r="G844" s="11">
        <v>730.10004154</v>
      </c>
      <c r="H844" s="11">
        <v>730.14</v>
      </c>
      <c r="I844" s="11">
        <f>H844-G844</f>
        <v>0.03995845999997982</v>
      </c>
    </row>
    <row r="845" spans="1:9">
      <c r="A845" s="3" t="s">
        <v>170</v>
      </c>
      <c r="B845" s="3" t="s">
        <v>331</v>
      </c>
      <c r="C845" s="3">
        <v>16</v>
      </c>
      <c r="D845" s="3">
        <v>16</v>
      </c>
      <c r="E845" s="8">
        <v>-2.045455</v>
      </c>
      <c r="F845" s="8">
        <v>-2.045</v>
      </c>
      <c r="G845" s="11">
        <v>2002.99584726</v>
      </c>
      <c r="H845" s="11">
        <v>2003.06</v>
      </c>
      <c r="I845" s="11">
        <f>H845-G845</f>
        <v>0.06415273999982674</v>
      </c>
    </row>
    <row r="846" spans="1:9">
      <c r="A846" s="3" t="s">
        <v>170</v>
      </c>
      <c r="B846" s="3" t="s">
        <v>332</v>
      </c>
      <c r="C846" s="3">
        <v>16</v>
      </c>
      <c r="D846" s="3">
        <v>16</v>
      </c>
      <c r="E846" s="8">
        <v>-2.045455</v>
      </c>
      <c r="F846" s="8">
        <v>-2.045</v>
      </c>
      <c r="G846" s="11">
        <v>710.4367308100001</v>
      </c>
      <c r="H846" s="11">
        <v>710.48</v>
      </c>
      <c r="I846" s="11">
        <f>H846-G846</f>
        <v>0.04326918999993268</v>
      </c>
    </row>
    <row r="847" spans="1:9">
      <c r="A847" s="3" t="s">
        <v>170</v>
      </c>
      <c r="B847" s="3" t="s">
        <v>333</v>
      </c>
      <c r="C847" s="3">
        <v>14</v>
      </c>
      <c r="D847" s="3">
        <v>14</v>
      </c>
      <c r="E847" s="8">
        <v>-2.045455</v>
      </c>
      <c r="F847" s="8">
        <v>-2.045</v>
      </c>
      <c r="G847" s="11">
        <v>584.6318440000001</v>
      </c>
      <c r="H847" s="11">
        <v>584.67</v>
      </c>
      <c r="I847" s="11">
        <f>H847-G847</f>
        <v>0.038155999999844425</v>
      </c>
    </row>
    <row r="848" spans="1:9">
      <c r="A848" s="3" t="s">
        <v>170</v>
      </c>
      <c r="B848" s="3" t="s">
        <v>334</v>
      </c>
      <c r="C848" s="3">
        <v>16</v>
      </c>
      <c r="D848" s="3">
        <v>16</v>
      </c>
      <c r="E848" s="8">
        <v>-2.045455</v>
      </c>
      <c r="F848" s="8">
        <v>-2.045</v>
      </c>
      <c r="G848" s="11">
        <v>553.6042137800001</v>
      </c>
      <c r="H848" s="11">
        <v>553.6500000000001</v>
      </c>
      <c r="I848" s="11">
        <f>H848-G848</f>
        <v>0.045786219999968125</v>
      </c>
    </row>
    <row r="849" spans="1:9">
      <c r="A849" s="3" t="s">
        <v>170</v>
      </c>
      <c r="B849" s="3" t="s">
        <v>335</v>
      </c>
      <c r="C849" s="3">
        <v>15</v>
      </c>
      <c r="D849" s="3">
        <v>15</v>
      </c>
      <c r="E849" s="8">
        <v>-2.045455</v>
      </c>
      <c r="F849" s="8">
        <v>-2.045</v>
      </c>
      <c r="G849" s="11">
        <v>286.0179798</v>
      </c>
      <c r="H849" s="11">
        <v>286.0699999999999</v>
      </c>
      <c r="I849" s="11">
        <f>H849-G849</f>
        <v>0.05202019999984486</v>
      </c>
    </row>
    <row r="850" spans="1:9">
      <c r="A850" s="3" t="s">
        <v>170</v>
      </c>
      <c r="B850" s="3" t="s">
        <v>336</v>
      </c>
      <c r="C850" s="3">
        <v>14</v>
      </c>
      <c r="D850" s="3">
        <v>14</v>
      </c>
      <c r="E850" s="8">
        <v>-1.918806</v>
      </c>
      <c r="F850" s="8">
        <v>-1.919</v>
      </c>
      <c r="G850" s="11">
        <v>-14.95053500000009</v>
      </c>
      <c r="H850" s="11">
        <v>-14.96999999999997</v>
      </c>
      <c r="I850" s="11">
        <f>H850-G850</f>
        <v>-0.019464999999883048</v>
      </c>
    </row>
    <row r="851" spans="1:9">
      <c r="A851" s="3" t="s">
        <v>170</v>
      </c>
      <c r="B851" s="3" t="s">
        <v>337</v>
      </c>
      <c r="C851" s="3">
        <v>10</v>
      </c>
      <c r="D851" s="3">
        <v>10</v>
      </c>
      <c r="E851" s="8">
        <v>-1.279204</v>
      </c>
      <c r="F851" s="8">
        <v>-1.279</v>
      </c>
      <c r="G851" s="11">
        <v>622.15022766</v>
      </c>
      <c r="H851" s="11">
        <v>622.1699999999998</v>
      </c>
      <c r="I851" s="11">
        <f>H851-G851</f>
        <v>0.01977233999980399</v>
      </c>
    </row>
    <row r="852" spans="1:9">
      <c r="A852" s="3" t="s">
        <v>170</v>
      </c>
      <c r="B852" s="3" t="s">
        <v>338</v>
      </c>
      <c r="C852" s="3">
        <v>15</v>
      </c>
      <c r="D852" s="3">
        <v>15</v>
      </c>
      <c r="E852" s="8">
        <v>-1.961022</v>
      </c>
      <c r="F852" s="8">
        <v>-1.961</v>
      </c>
      <c r="G852" s="11">
        <v>438.0251344999999</v>
      </c>
      <c r="H852" s="11">
        <v>438</v>
      </c>
      <c r="I852" s="11">
        <f>H852-G852</f>
        <v>-0.025134499999865056</v>
      </c>
    </row>
    <row r="853" spans="1:9">
      <c r="A853" s="3" t="s">
        <v>170</v>
      </c>
      <c r="B853" s="3" t="s">
        <v>339</v>
      </c>
      <c r="C853" s="3">
        <v>16</v>
      </c>
      <c r="D853" s="3">
        <v>16</v>
      </c>
      <c r="E853" s="8">
        <v>-2.045455</v>
      </c>
      <c r="F853" s="8">
        <v>-2.044999999999999</v>
      </c>
      <c r="G853" s="11">
        <v>489.60650653</v>
      </c>
      <c r="H853" s="11">
        <v>489.67</v>
      </c>
      <c r="I853" s="11">
        <f>H853-G853</f>
        <v>0.06349347000002581</v>
      </c>
    </row>
    <row r="854" spans="1:9">
      <c r="A854" s="3" t="s">
        <v>170</v>
      </c>
      <c r="B854" s="3" t="s">
        <v>340</v>
      </c>
      <c r="C854" s="3">
        <v>12</v>
      </c>
      <c r="D854" s="3">
        <v>12</v>
      </c>
      <c r="E854" s="8">
        <v>-1.579204</v>
      </c>
      <c r="F854" s="8">
        <v>-1.579</v>
      </c>
      <c r="G854" s="11">
        <v>508.65760692</v>
      </c>
      <c r="H854" s="11">
        <v>508.69</v>
      </c>
      <c r="I854" s="11">
        <f>H854-G854</f>
        <v>0.032393080000019836</v>
      </c>
    </row>
    <row r="855" spans="1:9">
      <c r="A855" s="3" t="s">
        <v>170</v>
      </c>
      <c r="B855" s="3" t="s">
        <v>341</v>
      </c>
      <c r="C855" s="3">
        <v>10</v>
      </c>
      <c r="D855" s="3">
        <v>10</v>
      </c>
      <c r="E855" s="8">
        <v>-1.279204</v>
      </c>
      <c r="F855" s="8">
        <v>-1.279</v>
      </c>
      <c r="G855" s="11">
        <v>281.0130682000001</v>
      </c>
      <c r="H855" s="11">
        <v>281.05</v>
      </c>
      <c r="I855" s="11">
        <f>H855-G855</f>
        <v>0.036931799999820214</v>
      </c>
    </row>
    <row r="856" spans="1:9">
      <c r="A856" s="3" t="s">
        <v>170</v>
      </c>
      <c r="B856" s="3" t="s">
        <v>342</v>
      </c>
      <c r="C856" s="3">
        <v>10</v>
      </c>
      <c r="D856" s="3">
        <v>10</v>
      </c>
      <c r="E856" s="8">
        <v>-1.279204</v>
      </c>
      <c r="F856" s="8">
        <v>-1.279</v>
      </c>
      <c r="G856" s="11">
        <v>254.5563843600001</v>
      </c>
      <c r="H856" s="11">
        <v>254.58</v>
      </c>
      <c r="I856" s="11">
        <f>H856-G856</f>
        <v>0.023615639999917448</v>
      </c>
    </row>
    <row r="857" spans="1:9">
      <c r="A857" s="3" t="s">
        <v>170</v>
      </c>
      <c r="B857" s="3" t="s">
        <v>343</v>
      </c>
      <c r="C857" s="3">
        <v>9</v>
      </c>
      <c r="D857" s="3">
        <v>9</v>
      </c>
      <c r="E857" s="8">
        <v>-1.239602</v>
      </c>
      <c r="F857" s="8">
        <v>-1.24</v>
      </c>
      <c r="G857" s="11">
        <v>196.4187089</v>
      </c>
      <c r="H857" s="11">
        <v>196.3699999999999</v>
      </c>
      <c r="I857" s="11">
        <f>H857-G857</f>
        <v>-0.04870890000000827</v>
      </c>
    </row>
    <row r="858" spans="1:9">
      <c r="A858" s="3" t="s">
        <v>170</v>
      </c>
      <c r="B858" s="3" t="s">
        <v>344</v>
      </c>
      <c r="C858" s="3">
        <v>11</v>
      </c>
      <c r="D858" s="3">
        <v>11</v>
      </c>
      <c r="E858" s="8">
        <v>-1.539602</v>
      </c>
      <c r="F858" s="8">
        <v>-1.539</v>
      </c>
      <c r="G858" s="11">
        <v>153.1079057399999</v>
      </c>
      <c r="H858" s="11">
        <v>153.2</v>
      </c>
      <c r="I858" s="11">
        <f>H858-G858</f>
        <v>0.09209426000003873</v>
      </c>
    </row>
    <row r="859" spans="1:9">
      <c r="A859" s="3" t="s">
        <v>170</v>
      </c>
      <c r="B859" s="3" t="s">
        <v>345</v>
      </c>
      <c r="C859" s="3">
        <v>16</v>
      </c>
      <c r="D859" s="3">
        <v>16</v>
      </c>
      <c r="E859" s="8">
        <v>-2.045455</v>
      </c>
      <c r="F859" s="8">
        <v>-2.044999999999999</v>
      </c>
      <c r="G859" s="11">
        <v>270.47102038</v>
      </c>
      <c r="H859" s="11">
        <v>270.51</v>
      </c>
      <c r="I859" s="11">
        <f>H859-G859</f>
        <v>0.03897961999996369</v>
      </c>
    </row>
    <row r="860" spans="1:9">
      <c r="A860" s="3" t="s">
        <v>170</v>
      </c>
      <c r="B860" s="3" t="s">
        <v>346</v>
      </c>
      <c r="C860" s="3">
        <v>16</v>
      </c>
      <c r="D860" s="3">
        <v>16</v>
      </c>
      <c r="E860" s="8">
        <v>-2.045455</v>
      </c>
      <c r="F860" s="8">
        <v>-2.045</v>
      </c>
      <c r="G860" s="11">
        <v>389.0792644400001</v>
      </c>
      <c r="H860" s="11">
        <v>389.11</v>
      </c>
      <c r="I860" s="11">
        <f>H860-G860</f>
        <v>0.030735559999868656</v>
      </c>
    </row>
    <row r="861" spans="1:9">
      <c r="A861" s="3" t="s">
        <v>170</v>
      </c>
      <c r="B861" s="3" t="s">
        <v>347</v>
      </c>
      <c r="C861" s="3">
        <v>16</v>
      </c>
      <c r="D861" s="3">
        <v>16</v>
      </c>
      <c r="E861" s="8">
        <v>-2.045455</v>
      </c>
      <c r="F861" s="8">
        <v>-2.045</v>
      </c>
      <c r="G861" s="11">
        <v>396.71166082</v>
      </c>
      <c r="H861" s="11">
        <v>396.77</v>
      </c>
      <c r="I861" s="11">
        <f>H861-G861</f>
        <v>0.05833918000007543</v>
      </c>
    </row>
    <row r="862" spans="1:9">
      <c r="A862" s="3" t="s">
        <v>170</v>
      </c>
      <c r="B862" s="3" t="s">
        <v>348</v>
      </c>
      <c r="C862" s="3">
        <v>16</v>
      </c>
      <c r="D862" s="3">
        <v>16</v>
      </c>
      <c r="E862" s="8">
        <v>-2.045455</v>
      </c>
      <c r="F862" s="8">
        <v>-2.045</v>
      </c>
      <c r="G862" s="11">
        <v>241.26995288</v>
      </c>
      <c r="H862" s="11">
        <v>241.3400000000001</v>
      </c>
      <c r="I862" s="11">
        <f>H862-G862</f>
        <v>0.07004712000005497</v>
      </c>
    </row>
    <row r="863" spans="1:9">
      <c r="A863" s="3" t="s">
        <v>170</v>
      </c>
      <c r="B863" s="3" t="s">
        <v>349</v>
      </c>
      <c r="C863" s="3">
        <v>11</v>
      </c>
      <c r="D863" s="3">
        <v>11</v>
      </c>
      <c r="E863" s="8">
        <v>-1.539601999999999</v>
      </c>
      <c r="F863" s="8">
        <v>-1.54</v>
      </c>
      <c r="G863" s="11">
        <v>275.03579742</v>
      </c>
      <c r="H863" s="11">
        <v>274.98</v>
      </c>
      <c r="I863" s="11">
        <f>H863-G863</f>
        <v>-0.05579741999997623</v>
      </c>
    </row>
    <row r="864" spans="1:9">
      <c r="A864" s="3" t="s">
        <v>170</v>
      </c>
      <c r="B864" s="3" t="s">
        <v>350</v>
      </c>
      <c r="C864" s="3">
        <v>9</v>
      </c>
      <c r="D864" s="3">
        <v>9</v>
      </c>
      <c r="E864" s="8">
        <v>-1.239602</v>
      </c>
      <c r="F864" s="8">
        <v>-1.24</v>
      </c>
      <c r="G864" s="11">
        <v>209.9510676</v>
      </c>
      <c r="H864" s="11">
        <v>209.91</v>
      </c>
      <c r="I864" s="11">
        <f>H864-G864</f>
        <v>-0.04106760000004783</v>
      </c>
    </row>
    <row r="865" spans="1:9">
      <c r="A865" s="3" t="s">
        <v>170</v>
      </c>
      <c r="B865" s="3" t="s">
        <v>351</v>
      </c>
      <c r="C865" s="3">
        <v>15</v>
      </c>
      <c r="D865" s="3">
        <v>15</v>
      </c>
      <c r="E865" s="8">
        <v>-1.961022</v>
      </c>
      <c r="F865" s="8">
        <v>-1.961</v>
      </c>
      <c r="G865" s="11">
        <v>1128.74153108</v>
      </c>
      <c r="H865" s="11">
        <v>1128.74</v>
      </c>
      <c r="I865" s="11">
        <f>H865-G865</f>
        <v>-0.0015310799999497249</v>
      </c>
    </row>
    <row r="866" spans="1:9">
      <c r="A866" s="3" t="s">
        <v>170</v>
      </c>
      <c r="B866" s="3" t="s">
        <v>352</v>
      </c>
      <c r="C866" s="3">
        <v>16</v>
      </c>
      <c r="D866" s="3">
        <v>16</v>
      </c>
      <c r="E866" s="8">
        <v>-2.045455</v>
      </c>
      <c r="F866" s="8">
        <v>-2.045</v>
      </c>
      <c r="G866" s="11">
        <v>339.1517157799999</v>
      </c>
      <c r="H866" s="11">
        <v>339.2</v>
      </c>
      <c r="I866" s="11">
        <f>H866-G866</f>
        <v>0.04828422000014143</v>
      </c>
    </row>
    <row r="867" spans="1:9">
      <c r="A867" s="3" t="s">
        <v>170</v>
      </c>
      <c r="B867" s="3" t="s">
        <v>353</v>
      </c>
      <c r="C867" s="3">
        <v>16</v>
      </c>
      <c r="D867" s="3">
        <v>16</v>
      </c>
      <c r="E867" s="8">
        <v>-2.045455</v>
      </c>
      <c r="F867" s="8">
        <v>-2.045</v>
      </c>
      <c r="G867" s="11">
        <v>273.03764935</v>
      </c>
      <c r="H867" s="11">
        <v>273.09</v>
      </c>
      <c r="I867" s="11">
        <f>H867-G867</f>
        <v>0.05235065000005079</v>
      </c>
    </row>
    <row r="868" spans="1:9">
      <c r="A868" s="3" t="s">
        <v>170</v>
      </c>
      <c r="B868" s="3" t="s">
        <v>354</v>
      </c>
      <c r="C868" s="3">
        <v>16</v>
      </c>
      <c r="D868" s="3">
        <v>16</v>
      </c>
      <c r="E868" s="8">
        <v>-2.045455</v>
      </c>
      <c r="F868" s="8">
        <v>-2.045</v>
      </c>
      <c r="G868" s="11">
        <v>322.32648367</v>
      </c>
      <c r="H868" s="11">
        <v>322.38</v>
      </c>
      <c r="I868" s="11">
        <f>H868-G868</f>
        <v>0.05351632999997946</v>
      </c>
    </row>
    <row r="869" spans="1:9">
      <c r="A869" s="3" t="s">
        <v>170</v>
      </c>
      <c r="B869" s="3" t="s">
        <v>355</v>
      </c>
      <c r="C869" s="3">
        <v>10</v>
      </c>
      <c r="D869" s="3">
        <v>10</v>
      </c>
      <c r="E869" s="8">
        <v>-1.279204</v>
      </c>
      <c r="F869" s="8">
        <v>-1.279</v>
      </c>
      <c r="G869" s="11">
        <v>304.0189547</v>
      </c>
      <c r="H869" s="11">
        <v>304.05</v>
      </c>
      <c r="I869" s="11">
        <f>H869-G869</f>
        <v>0.031045300000016596</v>
      </c>
    </row>
    <row r="870" spans="1:9">
      <c r="A870" s="3" t="s">
        <v>170</v>
      </c>
      <c r="B870" s="3" t="s">
        <v>356</v>
      </c>
      <c r="C870" s="3">
        <v>15</v>
      </c>
      <c r="D870" s="3">
        <v>15</v>
      </c>
      <c r="E870" s="8">
        <v>-2.045455</v>
      </c>
      <c r="F870" s="8">
        <v>-2.045</v>
      </c>
      <c r="G870" s="11">
        <v>210.7326742799999</v>
      </c>
      <c r="H870" s="11">
        <v>210.78</v>
      </c>
      <c r="I870" s="11">
        <f>H870-G870</f>
        <v>0.04732572000017399</v>
      </c>
    </row>
    <row r="871" spans="1:9">
      <c r="A871" s="3" t="s">
        <v>170</v>
      </c>
      <c r="B871" s="3" t="s">
        <v>357</v>
      </c>
      <c r="C871" s="3">
        <v>11</v>
      </c>
      <c r="D871" s="3">
        <v>11</v>
      </c>
      <c r="E871" s="8">
        <v>-1.579204</v>
      </c>
      <c r="F871" s="8">
        <v>-1.58</v>
      </c>
      <c r="G871" s="11">
        <v>371.41393364</v>
      </c>
      <c r="H871" s="11">
        <v>371.33</v>
      </c>
      <c r="I871" s="11">
        <f>H871-G871</f>
        <v>-0.08393363999999792</v>
      </c>
    </row>
    <row r="872" spans="1:9">
      <c r="A872" s="3" t="s">
        <v>170</v>
      </c>
      <c r="B872" s="3" t="s">
        <v>358</v>
      </c>
      <c r="C872" s="3">
        <v>12</v>
      </c>
      <c r="D872" s="3">
        <v>12</v>
      </c>
      <c r="E872" s="8">
        <v>-1.579204</v>
      </c>
      <c r="F872" s="8">
        <v>-1.579</v>
      </c>
      <c r="G872" s="11">
        <v>429.22131086</v>
      </c>
      <c r="H872" s="11">
        <v>429.23</v>
      </c>
      <c r="I872" s="11">
        <f>H872-G872</f>
        <v>0.00868914000005816</v>
      </c>
    </row>
    <row r="873" spans="1:9">
      <c r="A873" s="3" t="s">
        <v>170</v>
      </c>
      <c r="B873" s="3" t="s">
        <v>359</v>
      </c>
      <c r="C873" s="3">
        <v>14</v>
      </c>
      <c r="D873" s="3">
        <v>14</v>
      </c>
      <c r="E873" s="8">
        <v>-1.879204</v>
      </c>
      <c r="F873" s="8">
        <v>-1.879</v>
      </c>
      <c r="G873" s="11">
        <v>285.49740132</v>
      </c>
      <c r="H873" s="11">
        <v>285.5099999999999</v>
      </c>
      <c r="I873" s="11">
        <f>H873-G873</f>
        <v>0.012598679999939577</v>
      </c>
    </row>
    <row r="874" spans="1:9">
      <c r="A874" s="3" t="s">
        <v>170</v>
      </c>
      <c r="B874" s="3" t="s">
        <v>360</v>
      </c>
      <c r="C874" s="3">
        <v>16</v>
      </c>
      <c r="D874" s="3">
        <v>16</v>
      </c>
      <c r="E874" s="8">
        <v>-2.045455</v>
      </c>
      <c r="F874" s="8">
        <v>-2.045</v>
      </c>
      <c r="G874" s="11">
        <v>642.1934231</v>
      </c>
      <c r="H874" s="11">
        <v>642.23</v>
      </c>
      <c r="I874" s="11">
        <f>H874-G874</f>
        <v>0.03657690000000002</v>
      </c>
    </row>
    <row r="875" spans="1:9">
      <c r="A875" s="3" t="s">
        <v>170</v>
      </c>
      <c r="B875" s="3" t="s">
        <v>361</v>
      </c>
      <c r="C875" s="3">
        <v>16</v>
      </c>
      <c r="D875" s="3">
        <v>16</v>
      </c>
      <c r="E875" s="8">
        <v>-2.045455</v>
      </c>
      <c r="F875" s="8">
        <v>-2.044999999999999</v>
      </c>
      <c r="G875" s="11">
        <v>52.58961919999999</v>
      </c>
      <c r="H875" s="11">
        <v>52.62</v>
      </c>
      <c r="I875" s="11">
        <f>H875-G875</f>
        <v>0.030380800000017416</v>
      </c>
    </row>
    <row r="876" spans="1:9">
      <c r="A876" s="3" t="s">
        <v>170</v>
      </c>
      <c r="B876" s="3" t="s">
        <v>362</v>
      </c>
      <c r="C876" s="3">
        <v>16</v>
      </c>
      <c r="D876" s="3">
        <v>16</v>
      </c>
      <c r="E876" s="8">
        <v>-2.045455</v>
      </c>
      <c r="F876" s="8">
        <v>-2.045</v>
      </c>
      <c r="G876" s="11">
        <v>439.8896858200001</v>
      </c>
      <c r="H876" s="11">
        <v>439.9300000000001</v>
      </c>
      <c r="I876" s="11">
        <f>H876-G876</f>
        <v>0.04031417999999576</v>
      </c>
    </row>
    <row r="877" spans="1:9">
      <c r="A877" s="3" t="s">
        <v>170</v>
      </c>
      <c r="B877" s="3" t="s">
        <v>363</v>
      </c>
      <c r="C877" s="3">
        <v>17</v>
      </c>
      <c r="D877" s="3">
        <v>17</v>
      </c>
      <c r="E877" s="8">
        <v>-2.045455</v>
      </c>
      <c r="F877" s="8">
        <v>-2.046</v>
      </c>
      <c r="G877" s="11">
        <v>473.0160841600001</v>
      </c>
      <c r="H877" s="11">
        <v>472.99</v>
      </c>
      <c r="I877" s="11">
        <f>H877-G877</f>
        <v>-0.02608416000015268</v>
      </c>
    </row>
    <row r="878" spans="1:9">
      <c r="A878" s="3" t="s">
        <v>170</v>
      </c>
      <c r="B878" s="3" t="s">
        <v>364</v>
      </c>
      <c r="C878" s="3">
        <v>14</v>
      </c>
      <c r="D878" s="3">
        <v>14</v>
      </c>
      <c r="E878" s="8">
        <v>-1.918806</v>
      </c>
      <c r="F878" s="8">
        <v>-1.919</v>
      </c>
      <c r="G878" s="11">
        <v>320.72663818</v>
      </c>
      <c r="H878" s="11">
        <v>320.73</v>
      </c>
      <c r="I878" s="11">
        <f>H878-G878</f>
        <v>0.0033618200000091747</v>
      </c>
    </row>
    <row r="879" spans="1:9">
      <c r="A879" s="3" t="s">
        <v>170</v>
      </c>
      <c r="B879" s="3" t="s">
        <v>365</v>
      </c>
      <c r="C879" s="3">
        <v>10</v>
      </c>
      <c r="D879" s="3">
        <v>10</v>
      </c>
      <c r="E879" s="8">
        <v>-1.279204</v>
      </c>
      <c r="F879" s="8">
        <v>-1.279</v>
      </c>
      <c r="G879" s="11">
        <v>281.25347802</v>
      </c>
      <c r="H879" s="11">
        <v>281.28</v>
      </c>
      <c r="I879" s="11">
        <f>H879-G879</f>
        <v>0.02652197999998407</v>
      </c>
    </row>
    <row r="880" spans="1:9">
      <c r="A880" s="3" t="s">
        <v>170</v>
      </c>
      <c r="B880" s="3" t="s">
        <v>366</v>
      </c>
      <c r="C880" s="3">
        <v>16</v>
      </c>
      <c r="D880" s="3">
        <v>16</v>
      </c>
      <c r="E880" s="8">
        <v>-2.045455</v>
      </c>
      <c r="F880" s="8">
        <v>-2.045</v>
      </c>
      <c r="G880" s="11">
        <v>647.5550799800001</v>
      </c>
      <c r="H880" s="11">
        <v>647.5699999999999</v>
      </c>
      <c r="I880" s="11">
        <f>H880-G880</f>
        <v>0.014920019999863143</v>
      </c>
    </row>
    <row r="881" spans="1:9">
      <c r="A881" s="3" t="s">
        <v>170</v>
      </c>
      <c r="B881" s="3" t="s">
        <v>367</v>
      </c>
      <c r="C881" s="3">
        <v>15</v>
      </c>
      <c r="D881" s="3">
        <v>15</v>
      </c>
      <c r="E881" s="8">
        <v>-2.045455</v>
      </c>
      <c r="F881" s="8">
        <v>-2.045</v>
      </c>
      <c r="G881" s="11">
        <v>717.4513692300001</v>
      </c>
      <c r="H881" s="11">
        <v>717.47</v>
      </c>
      <c r="I881" s="11">
        <f>H881-G881</f>
        <v>0.01863076999995883</v>
      </c>
    </row>
    <row r="882" spans="1:9">
      <c r="A882" s="3" t="s">
        <v>170</v>
      </c>
      <c r="B882" s="3" t="s">
        <v>368</v>
      </c>
      <c r="C882" s="3">
        <v>16</v>
      </c>
      <c r="D882" s="3">
        <v>16</v>
      </c>
      <c r="E882" s="8">
        <v>-2.045455</v>
      </c>
      <c r="F882" s="8">
        <v>-2.045</v>
      </c>
      <c r="G882" s="11">
        <v>1114.06166866</v>
      </c>
      <c r="H882" s="11">
        <v>1114.09</v>
      </c>
      <c r="I882" s="11">
        <f>H882-G882</f>
        <v>0.028331340000022465</v>
      </c>
    </row>
    <row r="883" spans="1:9">
      <c r="A883" s="3" t="s">
        <v>170</v>
      </c>
      <c r="B883" s="3" t="s">
        <v>369</v>
      </c>
      <c r="C883" s="3">
        <v>16</v>
      </c>
      <c r="D883" s="3">
        <v>16</v>
      </c>
      <c r="E883" s="8">
        <v>-2.045455</v>
      </c>
      <c r="F883" s="8">
        <v>-2.045</v>
      </c>
      <c r="G883" s="11">
        <v>1190.77728767</v>
      </c>
      <c r="H883" s="11">
        <v>1190.78</v>
      </c>
      <c r="I883" s="11">
        <f>H883-G883</f>
        <v>0.0027123299998947914</v>
      </c>
    </row>
    <row r="884" spans="1:9">
      <c r="A884" s="3" t="s">
        <v>170</v>
      </c>
      <c r="B884" s="3" t="s">
        <v>370</v>
      </c>
      <c r="C884" s="3">
        <v>16</v>
      </c>
      <c r="D884" s="3">
        <v>16</v>
      </c>
      <c r="E884" s="8">
        <v>-2.045453999999999</v>
      </c>
      <c r="F884" s="8">
        <v>-2.045</v>
      </c>
      <c r="G884" s="11">
        <v>1022.09183731</v>
      </c>
      <c r="H884" s="11">
        <v>1022.07</v>
      </c>
      <c r="I884" s="11">
        <f>H884-G884</f>
        <v>-0.021837310000023535</v>
      </c>
    </row>
    <row r="885" spans="1:9">
      <c r="A885" s="3" t="s">
        <v>170</v>
      </c>
      <c r="B885" s="3" t="s">
        <v>371</v>
      </c>
      <c r="C885" s="3">
        <v>14</v>
      </c>
      <c r="D885" s="3">
        <v>14</v>
      </c>
      <c r="E885" s="8">
        <v>-1.918806</v>
      </c>
      <c r="F885" s="8">
        <v>-1.919</v>
      </c>
      <c r="G885" s="11">
        <v>933.75133938</v>
      </c>
      <c r="H885" s="11">
        <v>933.74</v>
      </c>
      <c r="I885" s="11">
        <f>H885-G885</f>
        <v>-0.011339379999981247</v>
      </c>
    </row>
    <row r="886" spans="1:9">
      <c r="A886" s="3" t="s">
        <v>170</v>
      </c>
      <c r="B886" s="3" t="s">
        <v>372</v>
      </c>
      <c r="C886" s="3">
        <v>16</v>
      </c>
      <c r="D886" s="3">
        <v>16</v>
      </c>
      <c r="E886" s="8">
        <v>-2.045455</v>
      </c>
      <c r="F886" s="8">
        <v>-2.045</v>
      </c>
      <c r="G886" s="11">
        <v>1670.98710144</v>
      </c>
      <c r="H886" s="11">
        <v>1671</v>
      </c>
      <c r="I886" s="11">
        <f>H886-G886</f>
        <v>0.012898559999939607</v>
      </c>
    </row>
    <row r="887" spans="1:9">
      <c r="A887" s="3" t="s">
        <v>170</v>
      </c>
      <c r="B887" s="3" t="s">
        <v>373</v>
      </c>
      <c r="C887" s="3">
        <v>16</v>
      </c>
      <c r="D887" s="3">
        <v>16</v>
      </c>
      <c r="E887" s="8">
        <v>-2.045455</v>
      </c>
      <c r="F887" s="8">
        <v>-2.045</v>
      </c>
      <c r="G887" s="11">
        <v>1815.96307443</v>
      </c>
      <c r="H887" s="11">
        <v>1816.01</v>
      </c>
      <c r="I887" s="11">
        <f>H887-G887</f>
        <v>0.04692556999998487</v>
      </c>
    </row>
    <row r="888" spans="1:9">
      <c r="A888" s="3" t="s">
        <v>170</v>
      </c>
      <c r="B888" s="3" t="s">
        <v>374</v>
      </c>
      <c r="C888" s="3">
        <v>16</v>
      </c>
      <c r="D888" s="3">
        <v>16</v>
      </c>
      <c r="E888" s="8">
        <v>-2.045455</v>
      </c>
      <c r="F888" s="8">
        <v>-2.045</v>
      </c>
      <c r="G888" s="11">
        <v>4043.09797829</v>
      </c>
      <c r="H888" s="11">
        <v>4043.16</v>
      </c>
      <c r="I888" s="11">
        <f>H888-G888</f>
        <v>0.06202171000040835</v>
      </c>
    </row>
    <row r="889" spans="1:9">
      <c r="A889" s="3" t="s">
        <v>170</v>
      </c>
      <c r="B889" s="3" t="s">
        <v>375</v>
      </c>
      <c r="C889" s="3">
        <v>16</v>
      </c>
      <c r="D889" s="3">
        <v>16</v>
      </c>
      <c r="E889" s="8">
        <v>-2.045455</v>
      </c>
      <c r="F889" s="8">
        <v>-2.045</v>
      </c>
      <c r="G889" s="11">
        <v>2280.56845152</v>
      </c>
      <c r="H889" s="11">
        <v>2280.63</v>
      </c>
      <c r="I889" s="11">
        <f>H889-G889</f>
        <v>0.06154848000005586</v>
      </c>
    </row>
    <row r="890" spans="1:9">
      <c r="A890" s="3" t="s">
        <v>170</v>
      </c>
      <c r="B890" s="3" t="s">
        <v>376</v>
      </c>
      <c r="C890" s="3">
        <v>16</v>
      </c>
      <c r="D890" s="3">
        <v>16</v>
      </c>
      <c r="E890" s="8">
        <v>-2.045455</v>
      </c>
      <c r="F890" s="8">
        <v>-2.045</v>
      </c>
      <c r="G890" s="11">
        <v>2024.33330308</v>
      </c>
      <c r="H890" s="11">
        <v>2024.39</v>
      </c>
      <c r="I890" s="11">
        <f>H890-G890</f>
        <v>0.0566969199999221</v>
      </c>
    </row>
    <row r="891" spans="1:9">
      <c r="A891" s="3" t="s">
        <v>170</v>
      </c>
      <c r="B891" s="3" t="s">
        <v>377</v>
      </c>
      <c r="C891" s="3">
        <v>16</v>
      </c>
      <c r="D891" s="3">
        <v>16</v>
      </c>
      <c r="E891" s="8">
        <v>-2.045454</v>
      </c>
      <c r="F891" s="8">
        <v>-2.045</v>
      </c>
      <c r="G891" s="11">
        <v>1719.01248928</v>
      </c>
      <c r="H891" s="11">
        <v>1719.05</v>
      </c>
      <c r="I891" s="11">
        <f>H891-G891</f>
        <v>0.03751072000000022</v>
      </c>
    </row>
    <row r="892" spans="1:9">
      <c r="A892" s="3" t="s">
        <v>170</v>
      </c>
      <c r="B892" s="3" t="s">
        <v>378</v>
      </c>
      <c r="C892" s="3">
        <v>16</v>
      </c>
      <c r="D892" s="3">
        <v>16</v>
      </c>
      <c r="E892" s="8">
        <v>-2.045453999999999</v>
      </c>
      <c r="F892" s="8">
        <v>-2.045</v>
      </c>
      <c r="G892" s="11">
        <v>1641.71143651</v>
      </c>
      <c r="H892" s="11">
        <v>1641.73</v>
      </c>
      <c r="I892" s="11">
        <f>H892-G892</f>
        <v>0.01856348999990587</v>
      </c>
    </row>
    <row r="893" spans="1:9">
      <c r="A893" s="3" t="s">
        <v>170</v>
      </c>
      <c r="B893" s="3" t="s">
        <v>379</v>
      </c>
      <c r="C893" s="3">
        <v>16</v>
      </c>
      <c r="D893" s="3">
        <v>16</v>
      </c>
      <c r="E893" s="8">
        <v>-2.045455</v>
      </c>
      <c r="F893" s="8">
        <v>-2.045</v>
      </c>
      <c r="G893" s="11">
        <v>2015.14414284</v>
      </c>
      <c r="H893" s="11">
        <v>2015.21</v>
      </c>
      <c r="I893" s="11">
        <f>H893-G893</f>
        <v>0.06585715999972308</v>
      </c>
    </row>
    <row r="894" spans="1:9">
      <c r="A894" s="3" t="s">
        <v>170</v>
      </c>
      <c r="B894" s="3" t="s">
        <v>380</v>
      </c>
      <c r="C894" s="3">
        <v>16</v>
      </c>
      <c r="D894" s="3">
        <v>16</v>
      </c>
      <c r="E894" s="8">
        <v>-2.045455</v>
      </c>
      <c r="F894" s="8">
        <v>-2.045</v>
      </c>
      <c r="G894" s="11">
        <v>1744.85708423</v>
      </c>
      <c r="H894" s="11">
        <v>1744.89</v>
      </c>
      <c r="I894" s="11">
        <f>H894-G894</f>
        <v>0.032915770000045086</v>
      </c>
    </row>
    <row r="895" spans="1:9">
      <c r="A895" s="3" t="s">
        <v>170</v>
      </c>
      <c r="B895" s="3" t="s">
        <v>381</v>
      </c>
      <c r="C895" s="3">
        <v>16</v>
      </c>
      <c r="D895" s="3">
        <v>16</v>
      </c>
      <c r="E895" s="8">
        <v>-2.045455</v>
      </c>
      <c r="F895" s="8">
        <v>-2.045</v>
      </c>
      <c r="G895" s="11">
        <v>1238.20715802</v>
      </c>
      <c r="H895" s="11">
        <v>1238.22</v>
      </c>
      <c r="I895" s="11">
        <f>H895-G895</f>
        <v>0.012841980000075637</v>
      </c>
    </row>
    <row r="896" spans="1:9">
      <c r="A896" s="3" t="s">
        <v>170</v>
      </c>
      <c r="B896" s="3" t="s">
        <v>382</v>
      </c>
      <c r="C896" s="3">
        <v>16</v>
      </c>
      <c r="D896" s="3">
        <v>16</v>
      </c>
      <c r="E896" s="8">
        <v>-2.045455</v>
      </c>
      <c r="F896" s="8">
        <v>-2.045</v>
      </c>
      <c r="G896" s="11">
        <v>1896.46754995</v>
      </c>
      <c r="H896" s="11">
        <v>1896.51</v>
      </c>
      <c r="I896" s="11">
        <f>H896-G896</f>
        <v>0.04245004999984303</v>
      </c>
    </row>
    <row r="897" spans="1:9">
      <c r="A897" s="3" t="s">
        <v>170</v>
      </c>
      <c r="B897" s="3" t="s">
        <v>383</v>
      </c>
      <c r="C897" s="3">
        <v>16</v>
      </c>
      <c r="D897" s="3">
        <v>16</v>
      </c>
      <c r="E897" s="8">
        <v>-2.045455</v>
      </c>
      <c r="F897" s="8">
        <v>-2.045</v>
      </c>
      <c r="G897" s="11">
        <v>1142.714952</v>
      </c>
      <c r="H897" s="11">
        <v>1142.72</v>
      </c>
      <c r="I897" s="11">
        <f>H897-G897</f>
        <v>0.005047999999987951</v>
      </c>
    </row>
    <row r="898" spans="1:9">
      <c r="A898" s="3" t="s">
        <v>170</v>
      </c>
      <c r="B898" s="3" t="s">
        <v>384</v>
      </c>
      <c r="C898" s="3">
        <v>16</v>
      </c>
      <c r="D898" s="3">
        <v>16</v>
      </c>
      <c r="E898" s="8">
        <v>-2.045453999999999</v>
      </c>
      <c r="F898" s="8">
        <v>-2.045</v>
      </c>
      <c r="G898" s="11">
        <v>355.3537939800001</v>
      </c>
      <c r="H898" s="11">
        <v>355.43</v>
      </c>
      <c r="I898" s="11">
        <f>H898-G898</f>
        <v>0.0762060199999155</v>
      </c>
    </row>
    <row r="899" spans="1:9">
      <c r="A899" s="3" t="s">
        <v>170</v>
      </c>
      <c r="B899" s="3" t="s">
        <v>385</v>
      </c>
      <c r="C899" s="3">
        <v>13</v>
      </c>
      <c r="D899" s="3">
        <v>13</v>
      </c>
      <c r="E899" s="8">
        <v>-1.879204</v>
      </c>
      <c r="F899" s="8">
        <v>-1.88</v>
      </c>
      <c r="G899" s="11">
        <v>1395.95424808</v>
      </c>
      <c r="H899" s="11">
        <v>1395.83</v>
      </c>
      <c r="I899" s="11">
        <f>H899-G899</f>
        <v>-0.12424807999991572</v>
      </c>
    </row>
    <row r="900" spans="1:9">
      <c r="A900" s="3" t="s">
        <v>170</v>
      </c>
      <c r="B900" s="3" t="s">
        <v>386</v>
      </c>
      <c r="C900" s="3">
        <v>16</v>
      </c>
      <c r="D900" s="3">
        <v>16</v>
      </c>
      <c r="E900" s="8">
        <v>-2.045455</v>
      </c>
      <c r="F900" s="8">
        <v>-2.045</v>
      </c>
      <c r="G900" s="11">
        <v>1627.45391717</v>
      </c>
      <c r="H900" s="11">
        <v>1627.49</v>
      </c>
      <c r="I900" s="11">
        <f>H900-G900</f>
        <v>0.03608282999994117</v>
      </c>
    </row>
    <row r="901" spans="1:9">
      <c r="A901" s="3" t="s">
        <v>170</v>
      </c>
      <c r="B901" s="3" t="s">
        <v>387</v>
      </c>
      <c r="C901" s="3">
        <v>16</v>
      </c>
      <c r="D901" s="3">
        <v>16</v>
      </c>
      <c r="E901" s="8">
        <v>-2.045455</v>
      </c>
      <c r="F901" s="8">
        <v>-2.045</v>
      </c>
      <c r="G901" s="11">
        <v>1368.96048962</v>
      </c>
      <c r="H901" s="11">
        <v>1369.02</v>
      </c>
      <c r="I901" s="11">
        <f>H901-G901</f>
        <v>0.05951038000011977</v>
      </c>
    </row>
    <row r="902" spans="1:9">
      <c r="A902" s="3" t="s">
        <v>170</v>
      </c>
      <c r="B902" s="3" t="s">
        <v>388</v>
      </c>
      <c r="C902" s="3">
        <v>16</v>
      </c>
      <c r="D902" s="3">
        <v>16</v>
      </c>
      <c r="E902" s="8">
        <v>-2.045455</v>
      </c>
      <c r="F902" s="8">
        <v>-2.045</v>
      </c>
      <c r="G902" s="11">
        <v>1893.01993253</v>
      </c>
      <c r="H902" s="11">
        <v>1893.07</v>
      </c>
      <c r="I902" s="11">
        <f>H902-G902</f>
        <v>0.05006746999970346</v>
      </c>
    </row>
    <row r="903" spans="1:9">
      <c r="A903" s="3" t="s">
        <v>170</v>
      </c>
      <c r="B903" s="3" t="s">
        <v>389</v>
      </c>
      <c r="C903" s="3">
        <v>16</v>
      </c>
      <c r="D903" s="3">
        <v>16</v>
      </c>
      <c r="E903" s="8">
        <v>-2.045455</v>
      </c>
      <c r="F903" s="8">
        <v>-2.045</v>
      </c>
      <c r="G903" s="11">
        <v>2330.34819109</v>
      </c>
      <c r="H903" s="11">
        <v>2330.42</v>
      </c>
      <c r="I903" s="11">
        <f>H903-G903</f>
        <v>0.0718089100000725</v>
      </c>
    </row>
    <row r="904" spans="1:9">
      <c r="A904" s="3" t="s">
        <v>170</v>
      </c>
      <c r="B904" s="3" t="s">
        <v>390</v>
      </c>
      <c r="C904" s="3">
        <v>16</v>
      </c>
      <c r="D904" s="3">
        <v>16</v>
      </c>
      <c r="E904" s="8">
        <v>-2.045455</v>
      </c>
      <c r="F904" s="8">
        <v>-2.045</v>
      </c>
      <c r="G904" s="11">
        <v>1836.86432802</v>
      </c>
      <c r="H904" s="11">
        <v>1836.92</v>
      </c>
      <c r="I904" s="11">
        <f>H904-G904</f>
        <v>0.05567197999994278</v>
      </c>
    </row>
    <row r="905" spans="1:9">
      <c r="A905" s="3" t="s">
        <v>170</v>
      </c>
      <c r="B905" s="3" t="s">
        <v>391</v>
      </c>
      <c r="C905" s="3">
        <v>16</v>
      </c>
      <c r="D905" s="3">
        <v>16</v>
      </c>
      <c r="E905" s="8">
        <v>-2.045455</v>
      </c>
      <c r="F905" s="8">
        <v>-2.045</v>
      </c>
      <c r="G905" s="11">
        <v>1523.12901672</v>
      </c>
      <c r="H905" s="11">
        <v>1523.21</v>
      </c>
      <c r="I905" s="11">
        <f>H905-G905</f>
        <v>0.08098328000005495</v>
      </c>
    </row>
    <row r="906" spans="1:9">
      <c r="A906" s="3" t="s">
        <v>170</v>
      </c>
      <c r="B906" s="3" t="s">
        <v>392</v>
      </c>
      <c r="C906" s="3">
        <v>14</v>
      </c>
      <c r="D906" s="3">
        <v>14</v>
      </c>
      <c r="E906" s="8">
        <v>-1.918806</v>
      </c>
      <c r="F906" s="8">
        <v>-1.919</v>
      </c>
      <c r="G906" s="11">
        <v>1587.93095466</v>
      </c>
      <c r="H906" s="11">
        <v>1587.91</v>
      </c>
      <c r="I906" s="11">
        <f>H906-G906</f>
        <v>-0.020954659999915748</v>
      </c>
    </row>
    <row r="907" spans="1:9">
      <c r="A907" s="3" t="s">
        <v>170</v>
      </c>
      <c r="B907" s="3" t="s">
        <v>393</v>
      </c>
      <c r="C907" s="3">
        <v>16</v>
      </c>
      <c r="D907" s="3">
        <v>16</v>
      </c>
      <c r="E907" s="8">
        <v>-2.045454</v>
      </c>
      <c r="F907" s="8">
        <v>-2.045</v>
      </c>
      <c r="G907" s="11">
        <v>2108.65046359</v>
      </c>
      <c r="H907" s="11">
        <v>2108.71</v>
      </c>
      <c r="I907" s="11">
        <f>H907-G907</f>
        <v>0.059536409999964235</v>
      </c>
    </row>
    <row r="908" spans="1:9">
      <c r="A908" s="3" t="s">
        <v>170</v>
      </c>
      <c r="B908" s="3" t="s">
        <v>394</v>
      </c>
      <c r="C908" s="3">
        <v>16</v>
      </c>
      <c r="D908" s="3">
        <v>16</v>
      </c>
      <c r="E908" s="8">
        <v>-2.045455</v>
      </c>
      <c r="F908" s="8">
        <v>-2.045</v>
      </c>
      <c r="G908" s="11">
        <v>1840.32798508</v>
      </c>
      <c r="H908" s="11">
        <v>1840.36</v>
      </c>
      <c r="I908" s="11">
        <f>H908-G908</f>
        <v>0.03201492000016515</v>
      </c>
    </row>
    <row r="909" spans="1:9">
      <c r="A909" s="3" t="s">
        <v>170</v>
      </c>
      <c r="B909" s="3" t="s">
        <v>395</v>
      </c>
      <c r="C909" s="3">
        <v>16</v>
      </c>
      <c r="D909" s="3">
        <v>16</v>
      </c>
      <c r="E909" s="8">
        <v>-2.045455</v>
      </c>
      <c r="F909" s="8">
        <v>-2.045</v>
      </c>
      <c r="G909" s="11">
        <v>972.9377530300001</v>
      </c>
      <c r="H909" s="11">
        <v>972.95</v>
      </c>
      <c r="I909" s="11">
        <f>H909-G909</f>
        <v>0.012246969999978319</v>
      </c>
    </row>
    <row r="910" spans="1:9">
      <c r="A910" s="3" t="s">
        <v>170</v>
      </c>
      <c r="B910" s="3" t="s">
        <v>396</v>
      </c>
      <c r="C910" s="3">
        <v>16</v>
      </c>
      <c r="D910" s="3">
        <v>16</v>
      </c>
      <c r="E910" s="8">
        <v>-2.045455</v>
      </c>
      <c r="F910" s="8">
        <v>-2.045</v>
      </c>
      <c r="G910" s="11">
        <v>1654.00668442</v>
      </c>
      <c r="H910" s="11">
        <v>1654.05</v>
      </c>
      <c r="I910" s="11">
        <f>H910-G910</f>
        <v>0.043315579999898546</v>
      </c>
    </row>
    <row r="911" spans="1:9">
      <c r="A911" s="3" t="s">
        <v>170</v>
      </c>
      <c r="B911" s="3" t="s">
        <v>397</v>
      </c>
      <c r="C911" s="3">
        <v>16</v>
      </c>
      <c r="D911" s="3">
        <v>16</v>
      </c>
      <c r="E911" s="8">
        <v>-2.045455</v>
      </c>
      <c r="F911" s="8">
        <v>-2.045</v>
      </c>
      <c r="G911" s="11">
        <v>1330.81656643</v>
      </c>
      <c r="H911" s="11">
        <v>1330.87</v>
      </c>
      <c r="I911" s="11">
        <f>H911-G911</f>
        <v>0.05343356999992466</v>
      </c>
    </row>
    <row r="912" spans="1:9">
      <c r="A912" s="3" t="s">
        <v>170</v>
      </c>
      <c r="B912" s="3" t="s">
        <v>398</v>
      </c>
      <c r="C912" s="3">
        <v>14</v>
      </c>
      <c r="D912" s="3">
        <v>14</v>
      </c>
      <c r="E912" s="8">
        <v>-1.918806</v>
      </c>
      <c r="F912" s="8">
        <v>-1.919</v>
      </c>
      <c r="G912" s="11">
        <v>1142.0516125</v>
      </c>
      <c r="H912" s="11">
        <v>1142.05</v>
      </c>
      <c r="I912" s="11">
        <f>H912-G912</f>
        <v>-0.0016124999999647116</v>
      </c>
    </row>
    <row r="913" spans="1:9">
      <c r="A913" s="3" t="s">
        <v>170</v>
      </c>
      <c r="B913" s="3" t="s">
        <v>399</v>
      </c>
      <c r="C913" s="3">
        <v>14</v>
      </c>
      <c r="D913" s="3">
        <v>14</v>
      </c>
      <c r="E913" s="8">
        <v>-1.921419999999999</v>
      </c>
      <c r="F913" s="8">
        <v>-1.922</v>
      </c>
      <c r="G913" s="11">
        <v>1220.44746364</v>
      </c>
      <c r="H913" s="11">
        <v>1220.39</v>
      </c>
      <c r="I913" s="11">
        <f>H913-G913</f>
        <v>-0.05746364000015092</v>
      </c>
    </row>
    <row r="914" spans="1:9">
      <c r="A914" s="3" t="s">
        <v>170</v>
      </c>
      <c r="B914" s="3" t="s">
        <v>400</v>
      </c>
      <c r="C914" s="3">
        <v>16</v>
      </c>
      <c r="D914" s="3">
        <v>16</v>
      </c>
      <c r="E914" s="8">
        <v>-2.045455</v>
      </c>
      <c r="F914" s="8">
        <v>-2.045</v>
      </c>
      <c r="G914" s="11">
        <v>1402.86848228</v>
      </c>
      <c r="H914" s="11">
        <v>1402.91</v>
      </c>
      <c r="I914" s="11">
        <f>H914-G914</f>
        <v>0.041517720000001646</v>
      </c>
    </row>
    <row r="915" spans="1:9">
      <c r="A915" s="3" t="s">
        <v>170</v>
      </c>
      <c r="B915" s="3" t="s">
        <v>401</v>
      </c>
      <c r="C915" s="3">
        <v>15</v>
      </c>
      <c r="D915" s="3">
        <v>15</v>
      </c>
      <c r="E915" s="8">
        <v>-2.045455</v>
      </c>
      <c r="F915" s="8">
        <v>-2.045</v>
      </c>
      <c r="G915" s="11">
        <v>1492.45041767</v>
      </c>
      <c r="H915" s="11">
        <v>1492.49</v>
      </c>
      <c r="I915" s="11">
        <f>H915-G915</f>
        <v>0.0395823300000302</v>
      </c>
    </row>
    <row r="916" spans="1:9">
      <c r="A916" s="3" t="s">
        <v>170</v>
      </c>
      <c r="B916" s="3" t="s">
        <v>402</v>
      </c>
      <c r="C916" s="3">
        <v>16</v>
      </c>
      <c r="D916" s="3">
        <v>16</v>
      </c>
      <c r="E916" s="8">
        <v>-2.045455</v>
      </c>
      <c r="F916" s="8">
        <v>-2.045</v>
      </c>
      <c r="G916" s="11">
        <v>1390.1901259</v>
      </c>
      <c r="H916" s="11">
        <v>1390.25</v>
      </c>
      <c r="I916" s="11">
        <f>H916-G916</f>
        <v>0.05987409999988813</v>
      </c>
    </row>
    <row r="917" spans="1:9">
      <c r="A917" s="3" t="s">
        <v>170</v>
      </c>
      <c r="B917" s="3" t="s">
        <v>403</v>
      </c>
      <c r="C917" s="3">
        <v>16</v>
      </c>
      <c r="D917" s="3">
        <v>16</v>
      </c>
      <c r="E917" s="8">
        <v>-2.045455</v>
      </c>
      <c r="F917" s="8">
        <v>-2.045</v>
      </c>
      <c r="G917" s="11">
        <v>1304.82448416</v>
      </c>
      <c r="H917" s="11">
        <v>1304.87</v>
      </c>
      <c r="I917" s="11">
        <f>H917-G917</f>
        <v>0.04551583999977993</v>
      </c>
    </row>
    <row r="918" spans="1:9">
      <c r="A918" s="3" t="s">
        <v>170</v>
      </c>
      <c r="B918" s="3" t="s">
        <v>404</v>
      </c>
      <c r="C918" s="3">
        <v>16</v>
      </c>
      <c r="D918" s="3">
        <v>16</v>
      </c>
      <c r="E918" s="8">
        <v>-2.045455</v>
      </c>
      <c r="F918" s="8">
        <v>-2.045</v>
      </c>
      <c r="G918" s="11">
        <v>1168.33701689</v>
      </c>
      <c r="H918" s="11">
        <v>1168.37</v>
      </c>
      <c r="I918" s="11">
        <f>H918-G918</f>
        <v>0.03298310999980458</v>
      </c>
    </row>
    <row r="919" spans="1:9">
      <c r="A919" s="3" t="s">
        <v>170</v>
      </c>
      <c r="B919" s="3" t="s">
        <v>405</v>
      </c>
      <c r="C919" s="3">
        <v>16</v>
      </c>
      <c r="D919" s="3">
        <v>16</v>
      </c>
      <c r="E919" s="8">
        <v>-2.045454</v>
      </c>
      <c r="F919" s="8">
        <v>-2.045</v>
      </c>
      <c r="G919" s="11">
        <v>1367.87370878</v>
      </c>
      <c r="H919" s="11">
        <v>1367.9</v>
      </c>
      <c r="I919" s="11">
        <f>H919-G919</f>
        <v>0.02629121999984818</v>
      </c>
    </row>
    <row r="920" spans="1:9">
      <c r="A920" s="3" t="s">
        <v>170</v>
      </c>
      <c r="B920" s="3" t="s">
        <v>406</v>
      </c>
      <c r="C920" s="3">
        <v>16</v>
      </c>
      <c r="D920" s="3">
        <v>16</v>
      </c>
      <c r="E920" s="8">
        <v>-2.045454</v>
      </c>
      <c r="F920" s="8">
        <v>-2.045</v>
      </c>
      <c r="G920" s="11">
        <v>1351.31955822</v>
      </c>
      <c r="H920" s="11">
        <v>1351.32</v>
      </c>
      <c r="I920" s="11">
        <f>H920-G920</f>
        <v>0.00044177999984640337</v>
      </c>
    </row>
    <row r="921" spans="1:9">
      <c r="A921" s="3" t="s">
        <v>170</v>
      </c>
      <c r="B921" s="3" t="s">
        <v>407</v>
      </c>
      <c r="C921" s="3">
        <v>15</v>
      </c>
      <c r="D921" s="3">
        <v>15</v>
      </c>
      <c r="E921" s="8">
        <v>-2.045455</v>
      </c>
      <c r="F921" s="8">
        <v>-2.045</v>
      </c>
      <c r="G921" s="11">
        <v>1641.5662756</v>
      </c>
      <c r="H921" s="11">
        <v>1641.5</v>
      </c>
      <c r="I921" s="11">
        <f>H921-G921</f>
        <v>-0.06627559999992627</v>
      </c>
    </row>
    <row r="922" spans="1:9">
      <c r="A922" s="3" t="s">
        <v>170</v>
      </c>
      <c r="B922" s="3" t="s">
        <v>408</v>
      </c>
      <c r="C922" s="3">
        <v>16</v>
      </c>
      <c r="D922" s="3">
        <v>16</v>
      </c>
      <c r="E922" s="8">
        <v>-2.045454</v>
      </c>
      <c r="F922" s="8">
        <v>-2.045</v>
      </c>
      <c r="G922" s="11">
        <v>2538.11155165</v>
      </c>
      <c r="H922" s="11">
        <v>2538.09</v>
      </c>
      <c r="I922" s="11">
        <f>H922-G922</f>
        <v>-0.021551649999764777</v>
      </c>
    </row>
    <row r="923" spans="1:9">
      <c r="A923" s="3" t="s">
        <v>170</v>
      </c>
      <c r="B923" s="3" t="s">
        <v>409</v>
      </c>
      <c r="C923" s="3">
        <v>15</v>
      </c>
      <c r="D923" s="3">
        <v>15</v>
      </c>
      <c r="E923" s="8">
        <v>-2.045455</v>
      </c>
      <c r="F923" s="8">
        <v>-2.045</v>
      </c>
      <c r="G923" s="11">
        <v>2487.1229686</v>
      </c>
      <c r="H923" s="11">
        <v>2487.16</v>
      </c>
      <c r="I923" s="11">
        <f>H923-G923</f>
        <v>0.03703140000015992</v>
      </c>
    </row>
    <row r="924" spans="1:9">
      <c r="A924" s="3" t="s">
        <v>170</v>
      </c>
      <c r="B924" s="3" t="s">
        <v>410</v>
      </c>
      <c r="C924" s="3">
        <v>15</v>
      </c>
      <c r="D924" s="3">
        <v>15</v>
      </c>
      <c r="E924" s="8">
        <v>-2.045455</v>
      </c>
      <c r="F924" s="8">
        <v>-2.045</v>
      </c>
      <c r="G924" s="11">
        <v>1813.80687016</v>
      </c>
      <c r="H924" s="11">
        <v>1813.84</v>
      </c>
      <c r="I924" s="11">
        <f>H924-G924</f>
        <v>0.03312984000012875</v>
      </c>
    </row>
    <row r="925" spans="1:9">
      <c r="A925" s="3" t="s">
        <v>170</v>
      </c>
      <c r="B925" s="3" t="s">
        <v>411</v>
      </c>
      <c r="C925" s="3">
        <v>16</v>
      </c>
      <c r="D925" s="3">
        <v>16</v>
      </c>
      <c r="E925" s="8">
        <v>-2.045455</v>
      </c>
      <c r="F925" s="8">
        <v>-2.045</v>
      </c>
      <c r="G925" s="11">
        <v>1454.15899744</v>
      </c>
      <c r="H925" s="11">
        <v>1454.21</v>
      </c>
      <c r="I925" s="11">
        <f>H925-G925</f>
        <v>0.051002559999687946</v>
      </c>
    </row>
    <row r="926" spans="1:9">
      <c r="A926" s="3" t="s">
        <v>170</v>
      </c>
      <c r="B926" s="3" t="s">
        <v>412</v>
      </c>
      <c r="C926" s="3">
        <v>16</v>
      </c>
      <c r="D926" s="3">
        <v>16</v>
      </c>
      <c r="E926" s="8">
        <v>-2.045455</v>
      </c>
      <c r="F926" s="8">
        <v>-2.045</v>
      </c>
      <c r="G926" s="11">
        <v>1677.96588189</v>
      </c>
      <c r="H926" s="11">
        <v>1678.01</v>
      </c>
      <c r="I926" s="11">
        <f>H926-G926</f>
        <v>0.04411810999999943</v>
      </c>
    </row>
    <row r="927" spans="1:9">
      <c r="A927" s="3" t="s">
        <v>170</v>
      </c>
      <c r="B927" s="3" t="s">
        <v>413</v>
      </c>
      <c r="C927" s="3">
        <v>16</v>
      </c>
      <c r="D927" s="3">
        <v>16</v>
      </c>
      <c r="E927" s="8">
        <v>-2.045453999999999</v>
      </c>
      <c r="F927" s="8">
        <v>-2.045</v>
      </c>
      <c r="G927" s="11">
        <v>1067.55532013</v>
      </c>
      <c r="H927" s="11">
        <v>1067.57</v>
      </c>
      <c r="I927" s="11">
        <f>H927-G927</f>
        <v>0.014679870000236406</v>
      </c>
    </row>
    <row r="928" spans="1:9">
      <c r="A928" s="3" t="s">
        <v>170</v>
      </c>
      <c r="B928" s="3" t="s">
        <v>414</v>
      </c>
      <c r="C928" s="3">
        <v>16</v>
      </c>
      <c r="D928" s="3">
        <v>16</v>
      </c>
      <c r="E928" s="8">
        <v>-2.045455</v>
      </c>
      <c r="F928" s="8">
        <v>-2.045</v>
      </c>
      <c r="G928" s="11">
        <v>580.2178822200001</v>
      </c>
      <c r="H928" s="11">
        <v>580.26</v>
      </c>
      <c r="I928" s="11">
        <f>H928-G928</f>
        <v>0.04211777999989863</v>
      </c>
    </row>
    <row r="929" spans="1:9">
      <c r="A929" s="3" t="s">
        <v>170</v>
      </c>
      <c r="B929" s="3" t="s">
        <v>415</v>
      </c>
      <c r="C929" s="3">
        <v>16</v>
      </c>
      <c r="D929" s="3">
        <v>16</v>
      </c>
      <c r="E929" s="8">
        <v>-2.045455</v>
      </c>
      <c r="F929" s="8">
        <v>-2.045</v>
      </c>
      <c r="G929" s="11">
        <v>1277.37887063</v>
      </c>
      <c r="H929" s="11">
        <v>1277.41</v>
      </c>
      <c r="I929" s="11">
        <f>H929-G929</f>
        <v>0.031129370000144263</v>
      </c>
    </row>
    <row r="930" spans="1:9">
      <c r="A930" s="3" t="s">
        <v>170</v>
      </c>
      <c r="B930" s="3" t="s">
        <v>416</v>
      </c>
      <c r="C930" s="3">
        <v>16</v>
      </c>
      <c r="D930" s="3">
        <v>16</v>
      </c>
      <c r="E930" s="8">
        <v>-2.045455</v>
      </c>
      <c r="F930" s="8">
        <v>-2.045</v>
      </c>
      <c r="G930" s="11">
        <v>1474.3988002</v>
      </c>
      <c r="H930" s="11">
        <v>1474.45</v>
      </c>
      <c r="I930" s="11">
        <f>H930-G930</f>
        <v>0.05119979999994939</v>
      </c>
    </row>
    <row r="931" spans="1:9">
      <c r="A931" s="3" t="s">
        <v>170</v>
      </c>
      <c r="B931" s="3" t="s">
        <v>417</v>
      </c>
      <c r="C931" s="3">
        <v>15</v>
      </c>
      <c r="D931" s="3">
        <v>15</v>
      </c>
      <c r="E931" s="8">
        <v>-2.045455</v>
      </c>
      <c r="F931" s="8">
        <v>-2.045</v>
      </c>
      <c r="G931" s="11">
        <v>1404.92937424</v>
      </c>
      <c r="H931" s="11">
        <v>1404.98</v>
      </c>
      <c r="I931" s="11">
        <f>H931-G931</f>
        <v>0.05062576000000263</v>
      </c>
    </row>
    <row r="932" spans="1:9">
      <c r="A932" s="3" t="s">
        <v>170</v>
      </c>
      <c r="B932" s="3" t="s">
        <v>418</v>
      </c>
      <c r="C932" s="3">
        <v>15</v>
      </c>
      <c r="D932" s="3">
        <v>15</v>
      </c>
      <c r="E932" s="8">
        <v>-2.045453999999999</v>
      </c>
      <c r="F932" s="8">
        <v>-2.046</v>
      </c>
      <c r="G932" s="11">
        <v>1478.64100032</v>
      </c>
      <c r="H932" s="11">
        <v>1478.6</v>
      </c>
      <c r="I932" s="11">
        <f>H932-G932</f>
        <v>-0.04100031999996645</v>
      </c>
    </row>
    <row r="933" spans="1:9">
      <c r="A933" s="3" t="s">
        <v>170</v>
      </c>
      <c r="B933" s="3" t="s">
        <v>419</v>
      </c>
      <c r="C933" s="3">
        <v>15</v>
      </c>
      <c r="D933" s="3">
        <v>15</v>
      </c>
      <c r="E933" s="8">
        <v>-2.045455</v>
      </c>
      <c r="F933" s="8">
        <v>-2.046</v>
      </c>
      <c r="G933" s="11">
        <v>1297.48462686</v>
      </c>
      <c r="H933" s="11">
        <v>1297.38</v>
      </c>
      <c r="I933" s="11">
        <f>H933-G933</f>
        <v>-0.10462685999982568</v>
      </c>
    </row>
    <row r="934" spans="1:9">
      <c r="A934" s="3" t="s">
        <v>170</v>
      </c>
      <c r="B934" s="3" t="s">
        <v>420</v>
      </c>
      <c r="C934" s="3">
        <v>14</v>
      </c>
      <c r="D934" s="3">
        <v>14</v>
      </c>
      <c r="E934" s="8">
        <v>-1.962329</v>
      </c>
      <c r="F934" s="8">
        <v>-1.963</v>
      </c>
      <c r="G934" s="11">
        <v>1132.49248425</v>
      </c>
      <c r="H934" s="11">
        <v>1132.41</v>
      </c>
      <c r="I934" s="11">
        <f>H934-G934</f>
        <v>-0.08248424999987947</v>
      </c>
    </row>
    <row r="935" spans="1:9">
      <c r="A935" s="3" t="s">
        <v>170</v>
      </c>
      <c r="B935" s="3" t="s">
        <v>421</v>
      </c>
      <c r="C935" s="3">
        <v>16</v>
      </c>
      <c r="D935" s="3">
        <v>16</v>
      </c>
      <c r="E935" s="8">
        <v>-2.045455</v>
      </c>
      <c r="F935" s="8">
        <v>-2.045</v>
      </c>
      <c r="G935" s="11">
        <v>1046.88344442</v>
      </c>
      <c r="H935" s="11">
        <v>1046.94</v>
      </c>
      <c r="I935" s="11">
        <f>H935-G935</f>
        <v>0.056555579999667316</v>
      </c>
    </row>
    <row r="936" spans="1:9">
      <c r="A936" s="3" t="s">
        <v>170</v>
      </c>
      <c r="B936" s="3" t="s">
        <v>422</v>
      </c>
      <c r="C936" s="3">
        <v>16</v>
      </c>
      <c r="D936" s="3">
        <v>16</v>
      </c>
      <c r="E936" s="8">
        <v>-2.045455</v>
      </c>
      <c r="F936" s="8">
        <v>-2.045</v>
      </c>
      <c r="G936" s="11">
        <v>1569.79253251</v>
      </c>
      <c r="H936" s="11">
        <v>1569.84</v>
      </c>
      <c r="I936" s="11">
        <f>H936-G936</f>
        <v>0.047467489999917234</v>
      </c>
    </row>
    <row r="937" spans="1:9">
      <c r="A937" s="3" t="s">
        <v>170</v>
      </c>
      <c r="B937" s="3" t="s">
        <v>423</v>
      </c>
      <c r="C937" s="3">
        <v>15</v>
      </c>
      <c r="D937" s="3">
        <v>15</v>
      </c>
      <c r="E937" s="8">
        <v>-2.045453999999999</v>
      </c>
      <c r="F937" s="8">
        <v>-2.046</v>
      </c>
      <c r="G937" s="11">
        <v>1911.20816067</v>
      </c>
      <c r="H937" s="11">
        <v>1911.17</v>
      </c>
      <c r="I937" s="11">
        <f>H937-G937</f>
        <v>-0.038160670000024766</v>
      </c>
    </row>
    <row r="938" spans="1:9">
      <c r="A938" s="3" t="s">
        <v>170</v>
      </c>
      <c r="B938" s="3" t="s">
        <v>424</v>
      </c>
      <c r="C938" s="3">
        <v>15</v>
      </c>
      <c r="D938" s="3">
        <v>15</v>
      </c>
      <c r="E938" s="8">
        <v>-2.045453999999999</v>
      </c>
      <c r="F938" s="8">
        <v>-2.046</v>
      </c>
      <c r="G938" s="11">
        <v>1931.97210845</v>
      </c>
      <c r="H938" s="11">
        <v>1931.94</v>
      </c>
      <c r="I938" s="11">
        <f>H938-G938</f>
        <v>-0.03210844999989604</v>
      </c>
    </row>
    <row r="939" spans="1:9">
      <c r="A939" s="3" t="s">
        <v>170</v>
      </c>
      <c r="B939" s="3" t="s">
        <v>425</v>
      </c>
      <c r="C939" s="3">
        <v>17</v>
      </c>
      <c r="D939" s="3">
        <v>17</v>
      </c>
      <c r="E939" s="8">
        <v>-2.045455</v>
      </c>
      <c r="F939" s="8">
        <v>-2.046</v>
      </c>
      <c r="G939" s="11">
        <v>1765.39098319</v>
      </c>
      <c r="H939" s="11">
        <v>1765.33</v>
      </c>
      <c r="I939" s="11">
        <f>H939-G939</f>
        <v>-0.06098319000011543</v>
      </c>
    </row>
    <row r="940" spans="1:9">
      <c r="A940" s="3" t="s">
        <v>170</v>
      </c>
      <c r="B940" s="3" t="s">
        <v>426</v>
      </c>
      <c r="C940" s="3">
        <v>15</v>
      </c>
      <c r="D940" s="3">
        <v>15</v>
      </c>
      <c r="E940" s="8">
        <v>-2.045455</v>
      </c>
      <c r="F940" s="8">
        <v>-2.046</v>
      </c>
      <c r="G940" s="11">
        <v>2782.44221509</v>
      </c>
      <c r="H940" s="11">
        <v>2782.39</v>
      </c>
      <c r="I940" s="11">
        <f>H940-G940</f>
        <v>-0.052215090000117925</v>
      </c>
    </row>
    <row r="941" spans="1:9">
      <c r="A941" s="3" t="s">
        <v>170</v>
      </c>
      <c r="B941" s="3" t="s">
        <v>427</v>
      </c>
      <c r="C941" s="3">
        <v>15</v>
      </c>
      <c r="D941" s="3">
        <v>15</v>
      </c>
      <c r="E941" s="8">
        <v>-2.004544999999999</v>
      </c>
      <c r="F941" s="8">
        <v>-2.005</v>
      </c>
      <c r="G941" s="11">
        <v>5931.33469336</v>
      </c>
      <c r="H941" s="11">
        <v>5931.28</v>
      </c>
      <c r="I941" s="11">
        <f>H941-G941</f>
        <v>-0.05469335999987379</v>
      </c>
    </row>
    <row r="942" spans="1:9">
      <c r="A942" s="3" t="s">
        <v>170</v>
      </c>
      <c r="B942" s="3" t="s">
        <v>428</v>
      </c>
      <c r="C942" s="3">
        <v>16</v>
      </c>
      <c r="D942" s="3">
        <v>16</v>
      </c>
      <c r="E942" s="8">
        <v>-2.045455</v>
      </c>
      <c r="F942" s="8">
        <v>-2.045</v>
      </c>
      <c r="G942" s="11">
        <v>2024.80444946</v>
      </c>
      <c r="H942" s="11">
        <v>2024.83</v>
      </c>
      <c r="I942" s="11">
        <f>H942-G942</f>
        <v>0.025550539999812827</v>
      </c>
    </row>
    <row r="943" spans="1:9">
      <c r="A943" s="3" t="s">
        <v>170</v>
      </c>
      <c r="B943" s="3" t="s">
        <v>429</v>
      </c>
      <c r="C943" s="3">
        <v>16</v>
      </c>
      <c r="D943" s="3">
        <v>16</v>
      </c>
      <c r="E943" s="8">
        <v>-2.045455</v>
      </c>
      <c r="F943" s="8">
        <v>-2.045</v>
      </c>
      <c r="G943" s="11">
        <v>1565.83840681</v>
      </c>
      <c r="H943" s="11">
        <v>1565.88</v>
      </c>
      <c r="I943" s="11">
        <f>H943-G943</f>
        <v>0.04159319000018513</v>
      </c>
    </row>
    <row r="944" spans="1:9">
      <c r="A944" s="3" t="s">
        <v>170</v>
      </c>
      <c r="B944" s="3" t="s">
        <v>430</v>
      </c>
      <c r="C944" s="3">
        <v>15</v>
      </c>
      <c r="D944" s="3">
        <v>15</v>
      </c>
      <c r="E944" s="8">
        <v>-2.045455</v>
      </c>
      <c r="F944" s="8">
        <v>-2.045</v>
      </c>
      <c r="G944" s="11">
        <v>2206.16135855</v>
      </c>
      <c r="H944" s="11">
        <v>2206.2</v>
      </c>
      <c r="I944" s="11">
        <f>H944-G944</f>
        <v>0.03864144999988639</v>
      </c>
    </row>
    <row r="945" spans="1:9">
      <c r="A945" s="3" t="s">
        <v>170</v>
      </c>
      <c r="B945" s="3" t="s">
        <v>431</v>
      </c>
      <c r="C945" s="3">
        <v>15</v>
      </c>
      <c r="D945" s="3">
        <v>15</v>
      </c>
      <c r="E945" s="8">
        <v>-2.045455</v>
      </c>
      <c r="F945" s="8">
        <v>-2.045</v>
      </c>
      <c r="G945" s="11">
        <v>2174.89799187</v>
      </c>
      <c r="H945" s="11">
        <v>2174.91</v>
      </c>
      <c r="I945" s="11">
        <f>H945-G945</f>
        <v>0.01200812999968548</v>
      </c>
    </row>
    <row r="946" spans="1:9">
      <c r="A946" s="3" t="s">
        <v>170</v>
      </c>
      <c r="B946" s="3" t="s">
        <v>432</v>
      </c>
      <c r="C946" s="3">
        <v>15</v>
      </c>
      <c r="D946" s="3">
        <v>15</v>
      </c>
      <c r="E946" s="8">
        <v>-2.045455</v>
      </c>
      <c r="F946" s="8">
        <v>-2.045</v>
      </c>
      <c r="G946" s="11">
        <v>7199.75819016</v>
      </c>
      <c r="H946" s="11">
        <v>7199.78</v>
      </c>
      <c r="I946" s="11">
        <f>H946-G946</f>
        <v>0.02180984000005992</v>
      </c>
    </row>
    <row r="947" spans="1:9">
      <c r="A947" s="3" t="s">
        <v>170</v>
      </c>
      <c r="B947" s="3" t="s">
        <v>433</v>
      </c>
      <c r="C947" s="3">
        <v>16</v>
      </c>
      <c r="D947" s="3">
        <v>16</v>
      </c>
      <c r="E947" s="8">
        <v>-2.045453999999999</v>
      </c>
      <c r="F947" s="8">
        <v>-2.045</v>
      </c>
      <c r="G947" s="11">
        <v>3189.51835557</v>
      </c>
      <c r="H947" s="11">
        <v>3189.55</v>
      </c>
      <c r="I947" s="11">
        <f>H947-G947</f>
        <v>0.031644430000142165</v>
      </c>
    </row>
    <row r="948" spans="1:9">
      <c r="A948" s="3" t="s">
        <v>170</v>
      </c>
      <c r="B948" s="3" t="s">
        <v>434</v>
      </c>
      <c r="C948" s="3">
        <v>16</v>
      </c>
      <c r="D948" s="3">
        <v>16</v>
      </c>
      <c r="E948" s="8">
        <v>-2.045454</v>
      </c>
      <c r="F948" s="8">
        <v>-2.045</v>
      </c>
      <c r="G948" s="11">
        <v>1502.67022122</v>
      </c>
      <c r="H948" s="11">
        <v>1502.74</v>
      </c>
      <c r="I948" s="11">
        <f>H948-G948</f>
        <v>0.06977877999997872</v>
      </c>
    </row>
    <row r="949" spans="1:9">
      <c r="A949" s="3" t="s">
        <v>170</v>
      </c>
      <c r="B949" s="3" t="s">
        <v>435</v>
      </c>
      <c r="C949" s="3">
        <v>16</v>
      </c>
      <c r="D949" s="3">
        <v>16</v>
      </c>
      <c r="E949" s="8">
        <v>-2.045455</v>
      </c>
      <c r="F949" s="8">
        <v>-2.045</v>
      </c>
      <c r="G949" s="11">
        <v>2123.08178004</v>
      </c>
      <c r="H949" s="11">
        <v>2123.16</v>
      </c>
      <c r="I949" s="11">
        <f>H949-G949</f>
        <v>0.0782199599998421</v>
      </c>
    </row>
    <row r="950" spans="1:9">
      <c r="A950" s="3" t="s">
        <v>170</v>
      </c>
      <c r="B950" s="3" t="s">
        <v>436</v>
      </c>
      <c r="C950" s="3">
        <v>16</v>
      </c>
      <c r="D950" s="3">
        <v>16</v>
      </c>
      <c r="E950" s="8">
        <v>-2.045455</v>
      </c>
      <c r="F950" s="8">
        <v>-2.045</v>
      </c>
      <c r="G950" s="11">
        <v>824.03381656</v>
      </c>
      <c r="H950" s="11">
        <v>824.0799999999999</v>
      </c>
      <c r="I950" s="11">
        <f>H950-G950</f>
        <v>0.04618343999993613</v>
      </c>
    </row>
    <row r="951" spans="1:9">
      <c r="A951" s="3" t="s">
        <v>170</v>
      </c>
      <c r="B951" s="3" t="s">
        <v>437</v>
      </c>
      <c r="C951" s="3">
        <v>15</v>
      </c>
      <c r="D951" s="3">
        <v>15</v>
      </c>
      <c r="E951" s="8">
        <v>-2.045455</v>
      </c>
      <c r="F951" s="8">
        <v>-2.045</v>
      </c>
      <c r="G951" s="11">
        <v>646.79267398</v>
      </c>
      <c r="H951" s="11">
        <v>646.8400000000001</v>
      </c>
      <c r="I951" s="11">
        <f>H951-G951</f>
        <v>0.047326020000127755</v>
      </c>
    </row>
    <row r="952" spans="1:9">
      <c r="A952" s="3" t="s">
        <v>170</v>
      </c>
      <c r="B952" s="3" t="s">
        <v>438</v>
      </c>
      <c r="C952" s="3">
        <v>16</v>
      </c>
      <c r="D952" s="3">
        <v>16</v>
      </c>
      <c r="E952" s="8">
        <v>-2.045455</v>
      </c>
      <c r="F952" s="8">
        <v>-2.045</v>
      </c>
      <c r="G952" s="11">
        <v>1044.6186755</v>
      </c>
      <c r="H952" s="11">
        <v>1044.66</v>
      </c>
      <c r="I952" s="11">
        <f>H952-G952</f>
        <v>0.041324500000200715</v>
      </c>
    </row>
    <row r="953" spans="1:9">
      <c r="A953" s="3" t="s">
        <v>170</v>
      </c>
      <c r="B953" s="3" t="s">
        <v>439</v>
      </c>
      <c r="C953" s="3">
        <v>16</v>
      </c>
      <c r="D953" s="3">
        <v>16</v>
      </c>
      <c r="E953" s="8">
        <v>-2.045455</v>
      </c>
      <c r="F953" s="8">
        <v>-2.045</v>
      </c>
      <c r="G953" s="11">
        <v>1004.90288143</v>
      </c>
      <c r="H953" s="11">
        <v>1004.95</v>
      </c>
      <c r="I953" s="11">
        <f>H953-G953</f>
        <v>0.04711856999995234</v>
      </c>
    </row>
    <row r="954" spans="1:9">
      <c r="A954" s="3" t="s">
        <v>170</v>
      </c>
      <c r="B954" s="3" t="s">
        <v>440</v>
      </c>
      <c r="C954" s="3">
        <v>13</v>
      </c>
      <c r="D954" s="3">
        <v>13</v>
      </c>
      <c r="E954" s="8">
        <v>-1.879204</v>
      </c>
      <c r="F954" s="8">
        <v>-1.88</v>
      </c>
      <c r="G954" s="11">
        <v>1319.21524132</v>
      </c>
      <c r="H954" s="11">
        <v>1319.08</v>
      </c>
      <c r="I954" s="11">
        <f>H954-G954</f>
        <v>-0.13524132000020472</v>
      </c>
    </row>
    <row r="955" spans="1:9">
      <c r="A955" s="3" t="s">
        <v>170</v>
      </c>
      <c r="B955" s="3" t="s">
        <v>441</v>
      </c>
      <c r="C955" s="3">
        <v>11</v>
      </c>
      <c r="D955" s="3">
        <v>11</v>
      </c>
      <c r="E955" s="8">
        <v>-1.579204</v>
      </c>
      <c r="F955" s="8">
        <v>-0.355</v>
      </c>
      <c r="G955" s="11">
        <v>1285.56052484</v>
      </c>
      <c r="H955" s="11">
        <v>864.13</v>
      </c>
      <c r="I955" s="11">
        <f>H955-G955</f>
        <v>-421.43052484</v>
      </c>
    </row>
    <row r="956" spans="1:9">
      <c r="A956" s="3" t="s">
        <v>170</v>
      </c>
      <c r="B956" s="3" t="s">
        <v>442</v>
      </c>
      <c r="C956" s="3">
        <v>16</v>
      </c>
      <c r="D956" s="3">
        <v>16</v>
      </c>
      <c r="E956" s="8">
        <v>-2.045455</v>
      </c>
      <c r="F956" s="8">
        <v>-2.045</v>
      </c>
      <c r="G956" s="11">
        <v>352.5378561000001</v>
      </c>
      <c r="H956" s="11">
        <v>352.5999999999999</v>
      </c>
      <c r="I956" s="11">
        <f>H956-G956</f>
        <v>0.062143899999796304</v>
      </c>
    </row>
    <row r="957" spans="1:9">
      <c r="A957" s="3" t="s">
        <v>170</v>
      </c>
      <c r="B957" s="3" t="s">
        <v>443</v>
      </c>
      <c r="C957" s="3">
        <v>15</v>
      </c>
      <c r="D957" s="3">
        <v>15</v>
      </c>
      <c r="E957" s="8">
        <v>-2.045455</v>
      </c>
      <c r="F957" s="8">
        <v>-2.045</v>
      </c>
      <c r="G957" s="11">
        <v>1205.08253055</v>
      </c>
      <c r="H957" s="11">
        <v>1205.12</v>
      </c>
      <c r="I957" s="11">
        <f>H957-G957</f>
        <v>0.03746944999988955</v>
      </c>
    </row>
    <row r="958" spans="1:9">
      <c r="A958" s="3" t="s">
        <v>170</v>
      </c>
      <c r="B958" s="3" t="s">
        <v>444</v>
      </c>
      <c r="C958" s="3">
        <v>16</v>
      </c>
      <c r="D958" s="3">
        <v>16</v>
      </c>
      <c r="E958" s="8">
        <v>-2.045455</v>
      </c>
      <c r="F958" s="8">
        <v>-2.045</v>
      </c>
      <c r="G958" s="11">
        <v>905.92424413</v>
      </c>
      <c r="H958" s="11">
        <v>905.97</v>
      </c>
      <c r="I958" s="11">
        <f>H958-G958</f>
        <v>0.04575586999999359</v>
      </c>
    </row>
    <row r="959" spans="1:9">
      <c r="A959" s="3" t="s">
        <v>170</v>
      </c>
      <c r="B959" s="3" t="s">
        <v>445</v>
      </c>
      <c r="C959" s="3">
        <v>12</v>
      </c>
      <c r="D959" s="3">
        <v>12</v>
      </c>
      <c r="E959" s="8">
        <v>-1.62142</v>
      </c>
      <c r="F959" s="8">
        <v>-1.622</v>
      </c>
      <c r="G959" s="11">
        <v>1214.85841276</v>
      </c>
      <c r="H959" s="11">
        <v>1214.78</v>
      </c>
      <c r="I959" s="11">
        <f>H959-G959</f>
        <v>-0.07841275999999198</v>
      </c>
    </row>
    <row r="960" spans="1:9">
      <c r="A960" s="3" t="s">
        <v>170</v>
      </c>
      <c r="B960" s="3" t="s">
        <v>446</v>
      </c>
      <c r="C960" s="3">
        <v>16</v>
      </c>
      <c r="D960" s="3">
        <v>16</v>
      </c>
      <c r="E960" s="8">
        <v>-2.045453999999999</v>
      </c>
      <c r="F960" s="8">
        <v>-2.046</v>
      </c>
      <c r="G960" s="11">
        <v>1012.25644696</v>
      </c>
      <c r="H960" s="11">
        <v>1012.18</v>
      </c>
      <c r="I960" s="11">
        <f>H960-G960</f>
        <v>-0.07644696000011209</v>
      </c>
    </row>
    <row r="961" spans="1:9">
      <c r="A961" s="3" t="s">
        <v>170</v>
      </c>
      <c r="B961" s="3" t="s">
        <v>447</v>
      </c>
      <c r="C961" s="3">
        <v>11</v>
      </c>
      <c r="D961" s="3">
        <v>11</v>
      </c>
      <c r="E961" s="8">
        <v>-1.579204</v>
      </c>
      <c r="F961" s="8">
        <v>-1.58</v>
      </c>
      <c r="G961" s="11">
        <v>1318.73916968</v>
      </c>
      <c r="H961" s="11">
        <v>1318.63</v>
      </c>
      <c r="I961" s="11">
        <f>H961-G961</f>
        <v>-0.10916967999992266</v>
      </c>
    </row>
    <row r="962" spans="1:9">
      <c r="A962" s="3" t="s">
        <v>170</v>
      </c>
      <c r="B962" s="3" t="s">
        <v>448</v>
      </c>
      <c r="C962" s="3">
        <v>15</v>
      </c>
      <c r="D962" s="3">
        <v>15</v>
      </c>
      <c r="E962" s="8">
        <v>-2.045455</v>
      </c>
      <c r="F962" s="8">
        <v>-2.046</v>
      </c>
      <c r="G962" s="11">
        <v>1436.12043276</v>
      </c>
      <c r="H962" s="11">
        <v>1436</v>
      </c>
      <c r="I962" s="11">
        <f>H962-G962</f>
        <v>-0.12043276000008518</v>
      </c>
    </row>
    <row r="963" spans="1:9">
      <c r="A963" s="3" t="s">
        <v>170</v>
      </c>
      <c r="B963" s="3" t="s">
        <v>449</v>
      </c>
      <c r="C963" s="3">
        <v>15</v>
      </c>
      <c r="D963" s="3">
        <v>15</v>
      </c>
      <c r="E963" s="8">
        <v>-2.045453999999999</v>
      </c>
      <c r="F963" s="8">
        <v>-2.046</v>
      </c>
      <c r="G963" s="11">
        <v>1286.75908498</v>
      </c>
      <c r="H963" s="11">
        <v>1286.68</v>
      </c>
      <c r="I963" s="11">
        <f>H963-G963</f>
        <v>-0.0790849799998341</v>
      </c>
    </row>
    <row r="964" spans="1:9">
      <c r="A964" s="3" t="s">
        <v>170</v>
      </c>
      <c r="B964" s="3" t="s">
        <v>450</v>
      </c>
      <c r="C964" s="3">
        <v>16</v>
      </c>
      <c r="D964" s="3">
        <v>16</v>
      </c>
      <c r="E964" s="8">
        <v>-2.045455</v>
      </c>
      <c r="F964" s="8">
        <v>-2.045</v>
      </c>
      <c r="G964" s="11">
        <v>1128.90469569</v>
      </c>
      <c r="H964" s="11">
        <v>1128.96</v>
      </c>
      <c r="I964" s="11">
        <f>H964-G964</f>
        <v>0.05530430999988312</v>
      </c>
    </row>
    <row r="965" spans="1:9">
      <c r="A965" s="3" t="s">
        <v>170</v>
      </c>
      <c r="B965" s="3" t="s">
        <v>451</v>
      </c>
      <c r="C965" s="3">
        <v>14</v>
      </c>
      <c r="D965" s="3">
        <v>14</v>
      </c>
      <c r="E965" s="8">
        <v>-1.918806</v>
      </c>
      <c r="F965" s="8">
        <v>-1.919</v>
      </c>
      <c r="G965" s="11">
        <v>1137.41939482</v>
      </c>
      <c r="H965" s="11">
        <v>1137.41</v>
      </c>
      <c r="I965" s="11">
        <f>H965-G965</f>
        <v>-0.009394820000125037</v>
      </c>
    </row>
    <row r="966" spans="1:9">
      <c r="A966" s="3" t="s">
        <v>170</v>
      </c>
      <c r="B966" s="3" t="s">
        <v>452</v>
      </c>
      <c r="C966" s="3">
        <v>14</v>
      </c>
      <c r="D966" s="3">
        <v>14</v>
      </c>
      <c r="E966" s="8">
        <v>-2.045455</v>
      </c>
      <c r="F966" s="8">
        <v>-2.046</v>
      </c>
      <c r="G966" s="11">
        <v>1837.5366513</v>
      </c>
      <c r="H966" s="11">
        <v>1837.45</v>
      </c>
      <c r="I966" s="11">
        <f>H966-G966</f>
        <v>-0.08665129999985766</v>
      </c>
    </row>
    <row r="967" spans="1:9">
      <c r="A967" s="3" t="s">
        <v>170</v>
      </c>
      <c r="B967" s="3" t="s">
        <v>453</v>
      </c>
      <c r="C967" s="3">
        <v>16</v>
      </c>
      <c r="D967" s="3">
        <v>16</v>
      </c>
      <c r="E967" s="8">
        <v>-2.045455</v>
      </c>
      <c r="F967" s="8">
        <v>-2.045</v>
      </c>
      <c r="G967" s="11">
        <v>2169.59659113</v>
      </c>
      <c r="H967" s="11">
        <v>2169.67</v>
      </c>
      <c r="I967" s="11">
        <f>H967-G967</f>
        <v>0.07340887000009388</v>
      </c>
    </row>
    <row r="968" spans="1:9">
      <c r="A968" s="3" t="s">
        <v>170</v>
      </c>
      <c r="B968" s="3" t="s">
        <v>454</v>
      </c>
      <c r="C968" s="3">
        <v>16</v>
      </c>
      <c r="D968" s="3">
        <v>16</v>
      </c>
      <c r="E968" s="8">
        <v>-2.045453999999999</v>
      </c>
      <c r="F968" s="8">
        <v>-2.046</v>
      </c>
      <c r="G968" s="11">
        <v>1800.7903922</v>
      </c>
      <c r="H968" s="11">
        <v>1800.69</v>
      </c>
      <c r="I968" s="11">
        <f>H968-G968</f>
        <v>-0.1003921999999875</v>
      </c>
    </row>
    <row r="969" spans="1:9">
      <c r="A969" s="3" t="s">
        <v>170</v>
      </c>
      <c r="B969" s="3" t="s">
        <v>455</v>
      </c>
      <c r="C969" s="3">
        <v>11</v>
      </c>
      <c r="D969" s="3">
        <v>11</v>
      </c>
      <c r="E969" s="8">
        <v>-1.579204</v>
      </c>
      <c r="F969" s="8">
        <v>-1.58</v>
      </c>
      <c r="G969" s="11">
        <v>2276.491261</v>
      </c>
      <c r="H969" s="11">
        <v>2276.35</v>
      </c>
      <c r="I969" s="11">
        <f>H969-G969</f>
        <v>-0.14126100000021324</v>
      </c>
    </row>
    <row r="970" spans="1:9">
      <c r="A970" s="3" t="s">
        <v>170</v>
      </c>
      <c r="B970" s="3" t="s">
        <v>456</v>
      </c>
      <c r="C970" s="3">
        <v>16</v>
      </c>
      <c r="D970" s="3">
        <v>16</v>
      </c>
      <c r="E970" s="8">
        <v>-2.045455</v>
      </c>
      <c r="F970" s="8">
        <v>-2.045</v>
      </c>
      <c r="G970" s="11">
        <v>1757.23111695</v>
      </c>
      <c r="H970" s="11">
        <v>1757.28</v>
      </c>
      <c r="I970" s="11">
        <f>H970-G970</f>
        <v>0.04888305000008586</v>
      </c>
    </row>
    <row r="971" spans="1:9">
      <c r="A971" s="3" t="s">
        <v>170</v>
      </c>
      <c r="B971" s="3" t="s">
        <v>457</v>
      </c>
      <c r="C971" s="3">
        <v>15</v>
      </c>
      <c r="D971" s="3">
        <v>15</v>
      </c>
      <c r="E971" s="8">
        <v>-2.045455</v>
      </c>
      <c r="F971" s="8">
        <v>-2.045</v>
      </c>
      <c r="G971" s="11">
        <v>2293.35800177</v>
      </c>
      <c r="H971" s="11">
        <v>2293.37</v>
      </c>
      <c r="I971" s="11">
        <f>H971-G971</f>
        <v>0.011998229999790055</v>
      </c>
    </row>
    <row r="972" spans="1:9">
      <c r="A972" s="3" t="s">
        <v>170</v>
      </c>
      <c r="B972" s="3" t="s">
        <v>458</v>
      </c>
      <c r="C972" s="3">
        <v>16</v>
      </c>
      <c r="D972" s="3">
        <v>16</v>
      </c>
      <c r="E972" s="8">
        <v>-2.045453999999999</v>
      </c>
      <c r="F972" s="8">
        <v>-2.045</v>
      </c>
      <c r="G972" s="11">
        <v>1513.1807089</v>
      </c>
      <c r="H972" s="11">
        <v>1513.19</v>
      </c>
      <c r="I972" s="11">
        <f>H972-G972</f>
        <v>0.00929109999992761</v>
      </c>
    </row>
    <row r="973" spans="1:9">
      <c r="A973" s="3" t="s">
        <v>170</v>
      </c>
      <c r="B973" s="3" t="s">
        <v>459</v>
      </c>
      <c r="C973" s="3">
        <v>16</v>
      </c>
      <c r="D973" s="3">
        <v>16</v>
      </c>
      <c r="E973" s="8">
        <v>-2.045453999999999</v>
      </c>
      <c r="F973" s="8">
        <v>-2.046</v>
      </c>
      <c r="G973" s="11">
        <v>3046.70712394</v>
      </c>
      <c r="H973" s="11">
        <v>3046.61</v>
      </c>
      <c r="I973" s="11">
        <f>H973-G973</f>
        <v>-0.09712394000007407</v>
      </c>
    </row>
    <row r="974" spans="1:9">
      <c r="A974" s="3" t="s">
        <v>170</v>
      </c>
      <c r="B974" s="3" t="s">
        <v>460</v>
      </c>
      <c r="C974" s="3">
        <v>17</v>
      </c>
      <c r="D974" s="3">
        <v>17</v>
      </c>
      <c r="E974" s="8">
        <v>-2.045455</v>
      </c>
      <c r="F974" s="8">
        <v>-2.046</v>
      </c>
      <c r="G974" s="11">
        <v>2157.17052117</v>
      </c>
      <c r="H974" s="11">
        <v>2157.13</v>
      </c>
      <c r="I974" s="11">
        <f>H974-G974</f>
        <v>-0.04052116999991995</v>
      </c>
    </row>
    <row r="975" spans="1:9">
      <c r="A975" s="3" t="s">
        <v>170</v>
      </c>
      <c r="B975" s="3" t="s">
        <v>461</v>
      </c>
      <c r="C975" s="3">
        <v>16</v>
      </c>
      <c r="D975" s="3">
        <v>16</v>
      </c>
      <c r="E975" s="8">
        <v>-2.045453999999999</v>
      </c>
      <c r="F975" s="8">
        <v>-2.045</v>
      </c>
      <c r="G975" s="11">
        <v>1513.76150206</v>
      </c>
      <c r="H975" s="11">
        <v>1513.72</v>
      </c>
      <c r="I975" s="11">
        <f>H975-G975</f>
        <v>-0.04150205999985701</v>
      </c>
    </row>
    <row r="976" spans="1:9">
      <c r="A976" s="3" t="s">
        <v>170</v>
      </c>
      <c r="B976" s="3" t="s">
        <v>462</v>
      </c>
      <c r="C976" s="3">
        <v>13</v>
      </c>
      <c r="D976" s="3">
        <v>13</v>
      </c>
      <c r="E976" s="8">
        <v>-1.879204</v>
      </c>
      <c r="F976" s="8">
        <v>-1.88</v>
      </c>
      <c r="G976" s="11">
        <v>1432.57638196</v>
      </c>
      <c r="H976" s="11">
        <v>1432.43</v>
      </c>
      <c r="I976" s="11">
        <f>H976-G976</f>
        <v>-0.14638196000009884</v>
      </c>
    </row>
    <row r="977" spans="1:9">
      <c r="A977" s="3" t="s">
        <v>170</v>
      </c>
      <c r="B977" s="3" t="s">
        <v>463</v>
      </c>
      <c r="C977" s="3">
        <v>15</v>
      </c>
      <c r="D977" s="3">
        <v>15</v>
      </c>
      <c r="E977" s="8">
        <v>-2.045455</v>
      </c>
      <c r="F977" s="8">
        <v>-2.045</v>
      </c>
      <c r="G977" s="11">
        <v>2579.316970979999</v>
      </c>
      <c r="H977" s="11">
        <v>2579.27</v>
      </c>
      <c r="I977" s="11">
        <f>H977-G977</f>
        <v>-0.046970979999514384</v>
      </c>
    </row>
    <row r="978" spans="1:9">
      <c r="A978" s="3" t="s">
        <v>170</v>
      </c>
      <c r="B978" s="3" t="s">
        <v>464</v>
      </c>
      <c r="C978" s="3">
        <v>16</v>
      </c>
      <c r="D978" s="3">
        <v>16</v>
      </c>
      <c r="E978" s="8">
        <v>-2.045455</v>
      </c>
      <c r="F978" s="8">
        <v>-2.046</v>
      </c>
      <c r="G978" s="11">
        <v>517.86963421</v>
      </c>
      <c r="H978" s="11">
        <v>517.78</v>
      </c>
      <c r="I978" s="11">
        <f>H978-G978</f>
        <v>-0.08963420999998561</v>
      </c>
    </row>
    <row r="979" spans="1:9">
      <c r="A979" s="3" t="s">
        <v>170</v>
      </c>
      <c r="B979" s="3" t="s">
        <v>465</v>
      </c>
      <c r="C979" s="3">
        <v>15</v>
      </c>
      <c r="D979" s="3">
        <v>15</v>
      </c>
      <c r="E979" s="8">
        <v>-2.045453999999999</v>
      </c>
      <c r="F979" s="8">
        <v>-2.046</v>
      </c>
      <c r="G979" s="11">
        <v>837.66906438</v>
      </c>
      <c r="H979" s="11">
        <v>837.63</v>
      </c>
      <c r="I979" s="11">
        <f>H979-G979</f>
        <v>-0.03906438000001344</v>
      </c>
    </row>
    <row r="980" spans="1:9">
      <c r="A980" s="3" t="s">
        <v>170</v>
      </c>
      <c r="B980" s="3" t="s">
        <v>466</v>
      </c>
      <c r="C980" s="3">
        <v>15</v>
      </c>
      <c r="D980" s="3">
        <v>15</v>
      </c>
      <c r="E980" s="8">
        <v>-2.045455</v>
      </c>
      <c r="F980" s="8">
        <v>-2.045</v>
      </c>
      <c r="G980" s="11">
        <v>1095.24086002</v>
      </c>
      <c r="H980" s="11">
        <v>1095.27</v>
      </c>
      <c r="I980" s="11">
        <f>H980-G980</f>
        <v>0.029139979999854404</v>
      </c>
    </row>
    <row r="981" spans="1:9">
      <c r="A981" s="3" t="s">
        <v>170</v>
      </c>
      <c r="B981" s="3" t="s">
        <v>467</v>
      </c>
      <c r="C981" s="3">
        <v>16</v>
      </c>
      <c r="D981" s="3">
        <v>16</v>
      </c>
      <c r="E981" s="8">
        <v>-2.045453999999999</v>
      </c>
      <c r="F981" s="8">
        <v>-2.046</v>
      </c>
      <c r="G981" s="11">
        <v>1108.77739396</v>
      </c>
      <c r="H981" s="11">
        <v>1108.69</v>
      </c>
      <c r="I981" s="11">
        <f>H981-G981</f>
        <v>-0.0873939599998721</v>
      </c>
    </row>
    <row r="982" spans="1:9">
      <c r="A982" s="3" t="s">
        <v>170</v>
      </c>
      <c r="B982" s="3" t="s">
        <v>468</v>
      </c>
      <c r="C982" s="3">
        <v>16</v>
      </c>
      <c r="D982" s="3">
        <v>16</v>
      </c>
      <c r="E982" s="8">
        <v>-2.045453999999999</v>
      </c>
      <c r="F982" s="8">
        <v>-2.046</v>
      </c>
      <c r="G982" s="11">
        <v>1488.57171014</v>
      </c>
      <c r="H982" s="11">
        <v>1488.5</v>
      </c>
      <c r="I982" s="11">
        <f>H982-G982</f>
        <v>-0.07171014000005016</v>
      </c>
    </row>
    <row r="983" spans="1:9">
      <c r="A983" s="3" t="s">
        <v>170</v>
      </c>
      <c r="B983" s="3" t="s">
        <v>469</v>
      </c>
      <c r="C983" s="3">
        <v>11</v>
      </c>
      <c r="D983" s="3">
        <v>11</v>
      </c>
      <c r="E983" s="8">
        <v>-1.579204</v>
      </c>
      <c r="F983" s="8">
        <v>-1.58</v>
      </c>
      <c r="G983" s="11">
        <v>1554.88466384</v>
      </c>
      <c r="H983" s="11">
        <v>1554.79</v>
      </c>
      <c r="I983" s="11">
        <f>H983-G983</f>
        <v>-0.09466384000006656</v>
      </c>
    </row>
    <row r="984" spans="1:9">
      <c r="A984" s="3" t="s">
        <v>170</v>
      </c>
      <c r="B984" s="3" t="s">
        <v>470</v>
      </c>
      <c r="C984" s="3">
        <v>15</v>
      </c>
      <c r="D984" s="3">
        <v>15</v>
      </c>
      <c r="E984" s="8">
        <v>-2.045453999999999</v>
      </c>
      <c r="F984" s="8">
        <v>-2.046</v>
      </c>
      <c r="G984" s="11">
        <v>1337.25995356</v>
      </c>
      <c r="H984" s="11">
        <v>1337.17</v>
      </c>
      <c r="I984" s="11">
        <f>H984-G984</f>
        <v>-0.08995355999991261</v>
      </c>
    </row>
    <row r="985" spans="1:9">
      <c r="A985" s="3" t="s">
        <v>170</v>
      </c>
      <c r="B985" s="3" t="s">
        <v>471</v>
      </c>
      <c r="C985" s="3">
        <v>14</v>
      </c>
      <c r="D985" s="3">
        <v>14</v>
      </c>
      <c r="E985" s="8">
        <v>-1.918806</v>
      </c>
      <c r="F985" s="8">
        <v>-1.919</v>
      </c>
      <c r="G985" s="11">
        <v>1336.95614786</v>
      </c>
      <c r="H985" s="11">
        <v>1336.92</v>
      </c>
      <c r="I985" s="11">
        <f>H985-G985</f>
        <v>-0.03614786000002823</v>
      </c>
    </row>
    <row r="986" spans="1:9">
      <c r="A986" s="3" t="s">
        <v>170</v>
      </c>
      <c r="B986" s="3" t="s">
        <v>472</v>
      </c>
      <c r="C986" s="3">
        <v>15</v>
      </c>
      <c r="D986" s="3">
        <v>15</v>
      </c>
      <c r="E986" s="8">
        <v>-2.045453999999999</v>
      </c>
      <c r="F986" s="8">
        <v>-2.046</v>
      </c>
      <c r="G986" s="11">
        <v>1212.81348147</v>
      </c>
      <c r="H986" s="11">
        <v>1212.74</v>
      </c>
      <c r="I986" s="11">
        <f>H986-G986</f>
        <v>-0.07348147000038807</v>
      </c>
    </row>
    <row r="987" spans="1:9">
      <c r="A987" s="3" t="s">
        <v>170</v>
      </c>
      <c r="B987" s="3" t="s">
        <v>473</v>
      </c>
      <c r="C987" s="3">
        <v>15</v>
      </c>
      <c r="D987" s="3">
        <v>15</v>
      </c>
      <c r="E987" s="8">
        <v>-1.961022</v>
      </c>
      <c r="F987" s="8">
        <v>-1.961</v>
      </c>
      <c r="G987" s="11">
        <v>1290.21420446</v>
      </c>
      <c r="H987" s="11">
        <v>1290.22</v>
      </c>
      <c r="I987" s="11">
        <f>H987-G987</f>
        <v>0.005795540000008259</v>
      </c>
    </row>
    <row r="988" spans="1:9">
      <c r="A988" s="3" t="s">
        <v>170</v>
      </c>
      <c r="B988" s="3" t="s">
        <v>474</v>
      </c>
      <c r="C988" s="3">
        <v>14</v>
      </c>
      <c r="D988" s="3">
        <v>14</v>
      </c>
      <c r="E988" s="8">
        <v>-1.962329</v>
      </c>
      <c r="F988" s="8">
        <v>-1.963</v>
      </c>
      <c r="G988" s="11">
        <v>479.55521334</v>
      </c>
      <c r="H988" s="11">
        <v>479.4900000000001</v>
      </c>
      <c r="I988" s="11">
        <f>H988-G988</f>
        <v>-0.06521333999995704</v>
      </c>
    </row>
    <row r="989" spans="1:9">
      <c r="A989" s="3" t="s">
        <v>170</v>
      </c>
      <c r="B989" s="3" t="s">
        <v>475</v>
      </c>
      <c r="C989" s="3">
        <v>15</v>
      </c>
      <c r="D989" s="3">
        <v>15</v>
      </c>
      <c r="E989" s="8">
        <v>-2.045455</v>
      </c>
      <c r="F989" s="8">
        <v>-2.045</v>
      </c>
      <c r="G989" s="11">
        <v>1305.00692711</v>
      </c>
      <c r="H989" s="11">
        <v>1305.03</v>
      </c>
      <c r="I989" s="11">
        <f>H989-G989</f>
        <v>0.023072889999866675</v>
      </c>
    </row>
    <row r="990" spans="1:9">
      <c r="A990" s="3" t="s">
        <v>170</v>
      </c>
      <c r="B990" s="3" t="s">
        <v>476</v>
      </c>
      <c r="C990" s="3">
        <v>9</v>
      </c>
      <c r="D990" s="3">
        <v>9</v>
      </c>
      <c r="E990" s="8">
        <v>-1.279204</v>
      </c>
      <c r="F990" s="8">
        <v>-1.28</v>
      </c>
      <c r="G990" s="11">
        <v>1222.26883064</v>
      </c>
      <c r="H990" s="11">
        <v>1222.18</v>
      </c>
      <c r="I990" s="11">
        <f>H990-G990</f>
        <v>-0.08883063999996921</v>
      </c>
    </row>
    <row r="991" spans="1:9">
      <c r="A991" s="3" t="s">
        <v>170</v>
      </c>
      <c r="B991" s="3" t="s">
        <v>477</v>
      </c>
      <c r="C991" s="3">
        <v>15</v>
      </c>
      <c r="D991" s="3">
        <v>15</v>
      </c>
      <c r="E991" s="8">
        <v>-2.045455</v>
      </c>
      <c r="F991" s="8">
        <v>-2.045</v>
      </c>
      <c r="G991" s="11">
        <v>1285.51308805</v>
      </c>
      <c r="H991" s="11">
        <v>1285.5</v>
      </c>
      <c r="I991" s="11">
        <f>H991-G991</f>
        <v>-0.013088049999851137</v>
      </c>
    </row>
    <row r="992" spans="1:9">
      <c r="A992" s="3" t="s">
        <v>170</v>
      </c>
      <c r="B992" s="3" t="s">
        <v>478</v>
      </c>
      <c r="C992" s="3">
        <v>16</v>
      </c>
      <c r="D992" s="3">
        <v>16</v>
      </c>
      <c r="E992" s="8">
        <v>-2.045455</v>
      </c>
      <c r="F992" s="8">
        <v>-2.045</v>
      </c>
      <c r="G992" s="11">
        <v>1061.77316473</v>
      </c>
      <c r="H992" s="11">
        <v>1061.83</v>
      </c>
      <c r="I992" s="11">
        <f>H992-G992</f>
        <v>0.05683526999996502</v>
      </c>
    </row>
    <row r="993" spans="1:9">
      <c r="A993" s="3" t="s">
        <v>170</v>
      </c>
      <c r="B993" s="3" t="s">
        <v>479</v>
      </c>
      <c r="C993" s="3">
        <v>16</v>
      </c>
      <c r="D993" s="3">
        <v>16</v>
      </c>
      <c r="E993" s="8">
        <v>-2.045455</v>
      </c>
      <c r="F993" s="8">
        <v>-2.045</v>
      </c>
      <c r="G993" s="11">
        <v>864.2648736800002</v>
      </c>
      <c r="H993" s="11">
        <v>864.34</v>
      </c>
      <c r="I993" s="11">
        <f>H993-G993</f>
        <v>0.07512631999986752</v>
      </c>
    </row>
    <row r="994" spans="1:9">
      <c r="A994" s="3" t="s">
        <v>170</v>
      </c>
      <c r="B994" s="3" t="s">
        <v>480</v>
      </c>
      <c r="C994" s="3">
        <v>14</v>
      </c>
      <c r="D994" s="3">
        <v>14</v>
      </c>
      <c r="E994" s="8">
        <v>-1.918806</v>
      </c>
      <c r="F994" s="8">
        <v>-1.919</v>
      </c>
      <c r="G994" s="11">
        <v>2880.4334913</v>
      </c>
      <c r="H994" s="11">
        <v>2880.27</v>
      </c>
      <c r="I994" s="11">
        <f>H994-G994</f>
        <v>-0.16349129999980505</v>
      </c>
    </row>
    <row r="995" spans="1:9">
      <c r="A995" s="3" t="s">
        <v>170</v>
      </c>
      <c r="B995" s="3" t="s">
        <v>481</v>
      </c>
      <c r="C995" s="3">
        <v>16</v>
      </c>
      <c r="D995" s="3">
        <v>16</v>
      </c>
      <c r="E995" s="8">
        <v>-2.045455</v>
      </c>
      <c r="F995" s="8">
        <v>-2.045</v>
      </c>
      <c r="G995" s="11">
        <v>1614.01699873</v>
      </c>
      <c r="H995" s="11">
        <v>1614.07</v>
      </c>
      <c r="I995" s="11">
        <f>H995-G995</f>
        <v>0.053001270000095246</v>
      </c>
    </row>
    <row r="996" spans="1:9">
      <c r="A996" s="3" t="s">
        <v>170</v>
      </c>
      <c r="B996" s="3" t="s">
        <v>482</v>
      </c>
      <c r="C996" s="3">
        <v>14</v>
      </c>
      <c r="D996" s="3">
        <v>14</v>
      </c>
      <c r="E996" s="8">
        <v>-1.918806</v>
      </c>
      <c r="F996" s="8">
        <v>-1.919</v>
      </c>
      <c r="G996" s="11">
        <v>1600.4808546</v>
      </c>
      <c r="H996" s="11">
        <v>1600.44</v>
      </c>
      <c r="I996" s="11">
        <f>H996-G996</f>
        <v>-0.04085459999987506</v>
      </c>
    </row>
    <row r="997" spans="1:9">
      <c r="A997" s="3" t="s">
        <v>170</v>
      </c>
      <c r="B997" s="3" t="s">
        <v>483</v>
      </c>
      <c r="C997" s="3">
        <v>13</v>
      </c>
      <c r="D997" s="3">
        <v>13</v>
      </c>
      <c r="E997" s="8">
        <v>-1.879204</v>
      </c>
      <c r="F997" s="8">
        <v>-1.88</v>
      </c>
      <c r="G997" s="11">
        <v>1477.19753684</v>
      </c>
      <c r="H997" s="11">
        <v>1477.06</v>
      </c>
      <c r="I997" s="11">
        <f>H997-G997</f>
        <v>-0.13753683999993882</v>
      </c>
    </row>
    <row r="998" spans="1:9">
      <c r="A998" s="3" t="s">
        <v>170</v>
      </c>
      <c r="B998" s="3" t="s">
        <v>484</v>
      </c>
      <c r="C998" s="3">
        <v>16</v>
      </c>
      <c r="D998" s="3">
        <v>16</v>
      </c>
      <c r="E998" s="8">
        <v>-2.045455</v>
      </c>
      <c r="F998" s="8">
        <v>-2.045</v>
      </c>
      <c r="G998" s="11">
        <v>2058.14188262</v>
      </c>
      <c r="H998" s="11">
        <v>2058.22</v>
      </c>
      <c r="I998" s="11">
        <f>H998-G998</f>
        <v>0.07811737999963952</v>
      </c>
    </row>
    <row r="999" spans="1:9">
      <c r="A999" s="3" t="s">
        <v>170</v>
      </c>
      <c r="B999" s="3" t="s">
        <v>485</v>
      </c>
      <c r="C999" s="3">
        <v>14</v>
      </c>
      <c r="D999" s="3">
        <v>14</v>
      </c>
      <c r="E999" s="8">
        <v>-1.918806</v>
      </c>
      <c r="F999" s="8">
        <v>-1.919</v>
      </c>
      <c r="G999" s="11">
        <v>4486.2897349</v>
      </c>
      <c r="H999" s="11">
        <v>4486.31</v>
      </c>
      <c r="I999" s="11">
        <f>H999-G999</f>
        <v>0.020265099999960512</v>
      </c>
    </row>
    <row r="1000" spans="1:9">
      <c r="A1000" s="3" t="s">
        <v>170</v>
      </c>
      <c r="B1000" s="3" t="s">
        <v>486</v>
      </c>
      <c r="C1000" s="3">
        <v>16</v>
      </c>
      <c r="D1000" s="3">
        <v>16</v>
      </c>
      <c r="E1000" s="8">
        <v>-2.045453999999999</v>
      </c>
      <c r="F1000" s="8">
        <v>-2.045</v>
      </c>
      <c r="G1000" s="11">
        <v>5581.50167142</v>
      </c>
      <c r="H1000" s="11">
        <v>5581.72</v>
      </c>
      <c r="I1000" s="11">
        <f>H1000-G1000</f>
        <v>0.2183285800001613</v>
      </c>
    </row>
    <row r="1001" spans="1:9">
      <c r="A1001" s="3" t="s">
        <v>170</v>
      </c>
      <c r="B1001" s="3" t="s">
        <v>487</v>
      </c>
      <c r="C1001" s="3">
        <v>15</v>
      </c>
      <c r="D1001" s="3">
        <v>15</v>
      </c>
      <c r="E1001" s="8">
        <v>-2.045454</v>
      </c>
      <c r="F1001" s="8">
        <v>-2.045</v>
      </c>
      <c r="G1001" s="11">
        <v>2658.56408606</v>
      </c>
      <c r="H1001" s="11">
        <v>2658.65</v>
      </c>
      <c r="I1001" s="11">
        <f>H1001-G1001</f>
        <v>0.08591393999995489</v>
      </c>
    </row>
    <row r="1002" spans="1:9">
      <c r="A1002" s="3" t="s">
        <v>170</v>
      </c>
      <c r="B1002" s="3" t="s">
        <v>488</v>
      </c>
      <c r="C1002" s="3">
        <v>16</v>
      </c>
      <c r="D1002" s="3">
        <v>16</v>
      </c>
      <c r="E1002" s="8">
        <v>-2.045453999999999</v>
      </c>
      <c r="F1002" s="8">
        <v>-2.045</v>
      </c>
      <c r="G1002" s="11">
        <v>3321.66233742</v>
      </c>
      <c r="H1002" s="11">
        <v>3321.74</v>
      </c>
      <c r="I1002" s="11">
        <f>H1002-G1002</f>
        <v>0.07766258000037851</v>
      </c>
    </row>
    <row r="1003" spans="1:9">
      <c r="A1003" s="3" t="s">
        <v>170</v>
      </c>
      <c r="B1003" s="3" t="s">
        <v>489</v>
      </c>
      <c r="C1003" s="3">
        <v>16</v>
      </c>
      <c r="D1003" s="3">
        <v>16</v>
      </c>
      <c r="E1003" s="8">
        <v>-2.045455</v>
      </c>
      <c r="F1003" s="8">
        <v>-2.045</v>
      </c>
      <c r="G1003" s="11">
        <v>2081.650721349999</v>
      </c>
      <c r="H1003" s="11">
        <v>2081.76</v>
      </c>
      <c r="I1003" s="11">
        <f>H1003-G1003</f>
        <v>0.10927865000030579</v>
      </c>
    </row>
    <row r="1004" spans="1:9">
      <c r="A1004" s="3" t="s">
        <v>170</v>
      </c>
      <c r="B1004" s="3" t="s">
        <v>490</v>
      </c>
      <c r="C1004" s="3">
        <v>16</v>
      </c>
      <c r="D1004" s="3">
        <v>16</v>
      </c>
      <c r="E1004" s="8">
        <v>-2.045453999999999</v>
      </c>
      <c r="F1004" s="8">
        <v>-2.045</v>
      </c>
      <c r="G1004" s="11">
        <v>1459.47250927</v>
      </c>
      <c r="H1004" s="11">
        <v>1459.47</v>
      </c>
      <c r="I1004" s="11">
        <f>H1004-G1004</f>
        <v>-0.0025092700000186596</v>
      </c>
    </row>
    <row r="1005" spans="1:9">
      <c r="A1005" s="3" t="s">
        <v>170</v>
      </c>
      <c r="B1005" s="3" t="s">
        <v>491</v>
      </c>
      <c r="C1005" s="3">
        <v>15</v>
      </c>
      <c r="D1005" s="3">
        <v>15</v>
      </c>
      <c r="E1005" s="8">
        <v>-2.045455</v>
      </c>
      <c r="F1005" s="8">
        <v>-2.045</v>
      </c>
      <c r="G1005" s="11">
        <v>1713.04242502</v>
      </c>
      <c r="H1005" s="11">
        <v>1713.08</v>
      </c>
      <c r="I1005" s="11">
        <f>H1005-G1005</f>
        <v>0.03757498000004489</v>
      </c>
    </row>
    <row r="1006" spans="1:9">
      <c r="A1006" s="3" t="s">
        <v>170</v>
      </c>
      <c r="B1006" s="3" t="s">
        <v>492</v>
      </c>
      <c r="C1006" s="3">
        <v>15</v>
      </c>
      <c r="D1006" s="3">
        <v>15</v>
      </c>
      <c r="E1006" s="8">
        <v>-2.045454</v>
      </c>
      <c r="F1006" s="8">
        <v>-2.045</v>
      </c>
      <c r="G1006" s="11">
        <v>3651.72916086</v>
      </c>
      <c r="H1006" s="11">
        <v>3651.88</v>
      </c>
      <c r="I1006" s="11">
        <f>H1006-G1006</f>
        <v>0.1508391399993343</v>
      </c>
    </row>
    <row r="1007" spans="1:9">
      <c r="A1007" s="3" t="s">
        <v>170</v>
      </c>
      <c r="B1007" s="3" t="s">
        <v>493</v>
      </c>
      <c r="C1007" s="3">
        <v>16</v>
      </c>
      <c r="D1007" s="3">
        <v>16</v>
      </c>
      <c r="E1007" s="8">
        <v>-2.045454</v>
      </c>
      <c r="F1007" s="8">
        <v>-2.045</v>
      </c>
      <c r="G1007" s="11">
        <v>1213.19913084</v>
      </c>
      <c r="H1007" s="11">
        <v>1213.3</v>
      </c>
      <c r="I1007" s="11">
        <f>H1007-G1007</f>
        <v>0.10086916000045676</v>
      </c>
    </row>
    <row r="1008" spans="1:9">
      <c r="A1008" s="3" t="s">
        <v>170</v>
      </c>
      <c r="B1008" s="3" t="s">
        <v>494</v>
      </c>
      <c r="C1008" s="3">
        <v>17</v>
      </c>
      <c r="D1008" s="3">
        <v>17</v>
      </c>
      <c r="E1008" s="8">
        <v>-2.045455</v>
      </c>
      <c r="F1008" s="8">
        <v>-2.046</v>
      </c>
      <c r="G1008" s="11">
        <v>1067.28633072</v>
      </c>
      <c r="H1008" s="11">
        <v>1067.26</v>
      </c>
      <c r="I1008" s="11">
        <f>H1008-G1008</f>
        <v>-0.026330719999805297</v>
      </c>
    </row>
    <row r="1009" spans="1:9">
      <c r="A1009" s="3" t="s">
        <v>170</v>
      </c>
      <c r="B1009" s="3" t="s">
        <v>495</v>
      </c>
      <c r="C1009" s="3">
        <v>15</v>
      </c>
      <c r="D1009" s="3">
        <v>15</v>
      </c>
      <c r="E1009" s="8">
        <v>-2.045455</v>
      </c>
      <c r="F1009" s="8">
        <v>-2.046</v>
      </c>
      <c r="G1009" s="11">
        <v>1278.423404</v>
      </c>
      <c r="H1009" s="11">
        <v>1278.32</v>
      </c>
      <c r="I1009" s="11">
        <f>H1009-G1009</f>
        <v>-0.10340400000018235</v>
      </c>
    </row>
    <row r="1010" spans="1:9">
      <c r="A1010" s="3" t="s">
        <v>170</v>
      </c>
      <c r="B1010" s="3" t="s">
        <v>496</v>
      </c>
      <c r="C1010" s="3">
        <v>15</v>
      </c>
      <c r="D1010" s="3">
        <v>15</v>
      </c>
      <c r="E1010" s="8">
        <v>-2.045455</v>
      </c>
      <c r="F1010" s="8">
        <v>-2.045</v>
      </c>
      <c r="G1010" s="11">
        <v>1364.13082577</v>
      </c>
      <c r="H1010" s="11">
        <v>1364.16</v>
      </c>
      <c r="I1010" s="11">
        <f>H1010-G1010</f>
        <v>0.029174229999853196</v>
      </c>
    </row>
    <row r="1011" spans="1:9">
      <c r="A1011" s="3" t="s">
        <v>170</v>
      </c>
      <c r="B1011" s="3" t="s">
        <v>497</v>
      </c>
      <c r="C1011" s="3">
        <v>9</v>
      </c>
      <c r="D1011" s="3">
        <v>9</v>
      </c>
      <c r="E1011" s="8">
        <v>-1.279204</v>
      </c>
      <c r="F1011" s="8">
        <v>-1.28</v>
      </c>
      <c r="G1011" s="11">
        <v>1285.9555054</v>
      </c>
      <c r="H1011" s="11">
        <v>1285.83</v>
      </c>
      <c r="I1011" s="11">
        <f>H1011-G1011</f>
        <v>-0.1255054000000655</v>
      </c>
    </row>
    <row r="1012" spans="1:9">
      <c r="A1012" s="3" t="s">
        <v>170</v>
      </c>
      <c r="B1012" s="3" t="s">
        <v>498</v>
      </c>
      <c r="C1012" s="3">
        <v>16</v>
      </c>
      <c r="D1012" s="3">
        <v>16</v>
      </c>
      <c r="E1012" s="8">
        <v>-2.045455</v>
      </c>
      <c r="F1012" s="8">
        <v>-2.045</v>
      </c>
      <c r="G1012" s="11">
        <v>1159.09687321</v>
      </c>
      <c r="H1012" s="11">
        <v>1159.15</v>
      </c>
      <c r="I1012" s="11">
        <f>H1012-G1012</f>
        <v>0.0531267899998511</v>
      </c>
    </row>
    <row r="1013" spans="1:9">
      <c r="A1013" s="3" t="s">
        <v>170</v>
      </c>
      <c r="B1013" s="3" t="s">
        <v>499</v>
      </c>
      <c r="C1013" s="3">
        <v>16</v>
      </c>
      <c r="D1013" s="3">
        <v>16</v>
      </c>
      <c r="E1013" s="8">
        <v>-2.045455</v>
      </c>
      <c r="F1013" s="8">
        <v>-2.045</v>
      </c>
      <c r="G1013" s="11">
        <v>1125.16130133</v>
      </c>
      <c r="H1013" s="11">
        <v>1125.22</v>
      </c>
      <c r="I1013" s="11">
        <f>H1013-G1013</f>
        <v>0.0586986700000125</v>
      </c>
    </row>
    <row r="1014" spans="1:9">
      <c r="A1014" s="3" t="s">
        <v>170</v>
      </c>
      <c r="B1014" s="3" t="s">
        <v>500</v>
      </c>
      <c r="C1014" s="3">
        <v>15</v>
      </c>
      <c r="D1014" s="3">
        <v>15</v>
      </c>
      <c r="E1014" s="8">
        <v>-2.045455</v>
      </c>
      <c r="F1014" s="8">
        <v>-2.045</v>
      </c>
      <c r="G1014" s="11">
        <v>1383.25740372</v>
      </c>
      <c r="H1014" s="11">
        <v>1383.28</v>
      </c>
      <c r="I1014" s="11">
        <f>H1014-G1014</f>
        <v>0.022596280000016122</v>
      </c>
    </row>
    <row r="1015" spans="1:9">
      <c r="A1015" s="3" t="s">
        <v>170</v>
      </c>
      <c r="B1015" s="3" t="s">
        <v>501</v>
      </c>
      <c r="C1015" s="3">
        <v>9</v>
      </c>
      <c r="D1015" s="3">
        <v>9</v>
      </c>
      <c r="E1015" s="8">
        <v>-1.279204</v>
      </c>
      <c r="F1015" s="8">
        <v>-1.28</v>
      </c>
      <c r="G1015" s="11">
        <v>1206.4130948</v>
      </c>
      <c r="H1015" s="11">
        <v>1206.28</v>
      </c>
      <c r="I1015" s="11">
        <f>H1015-G1015</f>
        <v>-0.13309479999998075</v>
      </c>
    </row>
    <row r="1016" spans="1:9">
      <c r="A1016" s="3" t="s">
        <v>170</v>
      </c>
      <c r="B1016" s="3" t="s">
        <v>502</v>
      </c>
      <c r="C1016" s="3">
        <v>13</v>
      </c>
      <c r="D1016" s="3">
        <v>13</v>
      </c>
      <c r="E1016" s="8">
        <v>-1.879204</v>
      </c>
      <c r="F1016" s="8">
        <v>-1.88</v>
      </c>
      <c r="G1016" s="11">
        <v>1289.9496816</v>
      </c>
      <c r="H1016" s="11">
        <v>1289.84</v>
      </c>
      <c r="I1016" s="11">
        <f>H1016-G1016</f>
        <v>-0.10968160000015814</v>
      </c>
    </row>
    <row r="1017" spans="1:9">
      <c r="A1017" s="3" t="s">
        <v>170</v>
      </c>
      <c r="B1017" s="3" t="s">
        <v>503</v>
      </c>
      <c r="C1017" s="3">
        <v>11</v>
      </c>
      <c r="D1017" s="3">
        <v>11</v>
      </c>
      <c r="E1017" s="8">
        <v>-1.579204</v>
      </c>
      <c r="F1017" s="8">
        <v>-1.58</v>
      </c>
      <c r="G1017" s="11">
        <v>1461.0227754</v>
      </c>
      <c r="H1017" s="11">
        <v>1460.89</v>
      </c>
      <c r="I1017" s="11">
        <f>H1017-G1017</f>
        <v>-0.13277540000012777</v>
      </c>
    </row>
    <row r="1018" spans="1:9">
      <c r="A1018" s="3" t="s">
        <v>170</v>
      </c>
      <c r="B1018" s="3" t="s">
        <v>504</v>
      </c>
      <c r="C1018" s="3">
        <v>9</v>
      </c>
      <c r="D1018" s="3">
        <v>9</v>
      </c>
      <c r="E1018" s="8">
        <v>-1.279204</v>
      </c>
      <c r="F1018" s="8">
        <v>-1.28</v>
      </c>
      <c r="G1018" s="11">
        <v>1416.03552956</v>
      </c>
      <c r="H1018" s="11">
        <v>1415.92</v>
      </c>
      <c r="I1018" s="11">
        <f>H1018-G1018</f>
        <v>-0.11552955999991354</v>
      </c>
    </row>
    <row r="1019" spans="1:9">
      <c r="A1019" s="3" t="s">
        <v>170</v>
      </c>
      <c r="B1019" s="3" t="s">
        <v>505</v>
      </c>
      <c r="C1019" s="3">
        <v>15</v>
      </c>
      <c r="D1019" s="3">
        <v>15</v>
      </c>
      <c r="E1019" s="8">
        <v>-2.045455</v>
      </c>
      <c r="F1019" s="8">
        <v>-2.045</v>
      </c>
      <c r="G1019" s="11">
        <v>1209.76348832</v>
      </c>
      <c r="H1019" s="11">
        <v>1209.81</v>
      </c>
      <c r="I1019" s="11">
        <f>H1019-G1019</f>
        <v>0.0465116800000942</v>
      </c>
    </row>
    <row r="1020" spans="1:9">
      <c r="A1020" s="3" t="s">
        <v>170</v>
      </c>
      <c r="B1020" s="3" t="s">
        <v>506</v>
      </c>
      <c r="C1020" s="3">
        <v>15</v>
      </c>
      <c r="D1020" s="3">
        <v>15</v>
      </c>
      <c r="E1020" s="8">
        <v>-2.045453999999999</v>
      </c>
      <c r="F1020" s="8">
        <v>-2.046</v>
      </c>
      <c r="G1020" s="11">
        <v>1064.67261926</v>
      </c>
      <c r="H1020" s="11">
        <v>1064.6</v>
      </c>
      <c r="I1020" s="11">
        <f>H1020-G1020</f>
        <v>-0.0726192600000104</v>
      </c>
    </row>
    <row r="1021" spans="1:9">
      <c r="A1021" s="3" t="s">
        <v>170</v>
      </c>
      <c r="B1021" s="3" t="s">
        <v>507</v>
      </c>
      <c r="C1021" s="3">
        <v>15</v>
      </c>
      <c r="D1021" s="3">
        <v>15</v>
      </c>
      <c r="E1021" s="8">
        <v>-2.045455</v>
      </c>
      <c r="F1021" s="8">
        <v>-2.045</v>
      </c>
      <c r="G1021" s="11">
        <v>1198.89435028</v>
      </c>
      <c r="H1021" s="11">
        <v>1198.93</v>
      </c>
      <c r="I1021" s="11">
        <f>H1021-G1021</f>
        <v>0.03564972000003763</v>
      </c>
    </row>
    <row r="1022" spans="1:9">
      <c r="A1022" s="3" t="s">
        <v>170</v>
      </c>
      <c r="B1022" s="3" t="s">
        <v>508</v>
      </c>
      <c r="C1022" s="3">
        <v>15</v>
      </c>
      <c r="D1022" s="3">
        <v>15</v>
      </c>
      <c r="E1022" s="8">
        <v>-1.961022</v>
      </c>
      <c r="F1022" s="8">
        <v>-1.961</v>
      </c>
      <c r="G1022" s="11">
        <v>1982.1448234</v>
      </c>
      <c r="H1022" s="11">
        <v>1982.17</v>
      </c>
      <c r="I1022" s="11">
        <f>H1022-G1022</f>
        <v>0.025176600000122562</v>
      </c>
    </row>
    <row r="1023" spans="1:9">
      <c r="A1023" s="3" t="s">
        <v>170</v>
      </c>
      <c r="B1023" s="3" t="s">
        <v>509</v>
      </c>
      <c r="C1023" s="3">
        <v>14</v>
      </c>
      <c r="D1023" s="3">
        <v>14</v>
      </c>
      <c r="E1023" s="8">
        <v>-1.918806</v>
      </c>
      <c r="F1023" s="8">
        <v>-1.919</v>
      </c>
      <c r="G1023" s="11">
        <v>475.69532466</v>
      </c>
      <c r="H1023" s="11">
        <v>475.68</v>
      </c>
      <c r="I1023" s="11">
        <f>H1023-G1023</f>
        <v>-0.015324660000032964</v>
      </c>
    </row>
    <row r="1024" spans="1:9">
      <c r="A1024" s="3" t="s">
        <v>170</v>
      </c>
      <c r="B1024" s="3" t="s">
        <v>510</v>
      </c>
      <c r="C1024" s="3">
        <v>9</v>
      </c>
      <c r="D1024" s="3">
        <v>9</v>
      </c>
      <c r="E1024" s="8">
        <v>-1.279204</v>
      </c>
      <c r="F1024" s="8">
        <v>-1.28</v>
      </c>
      <c r="G1024" s="11">
        <v>1458.79130464</v>
      </c>
      <c r="H1024" s="11">
        <v>1458.66</v>
      </c>
      <c r="I1024" s="11">
        <f>H1024-G1024</f>
        <v>-0.13130463999982567</v>
      </c>
    </row>
    <row r="1025" spans="1:9">
      <c r="A1025" s="3" t="s">
        <v>170</v>
      </c>
      <c r="B1025" s="3" t="s">
        <v>511</v>
      </c>
      <c r="C1025" s="3">
        <v>9</v>
      </c>
      <c r="D1025" s="3">
        <v>9</v>
      </c>
      <c r="E1025" s="8">
        <v>-1.279204</v>
      </c>
      <c r="F1025" s="8">
        <v>-1.28</v>
      </c>
      <c r="G1025" s="11">
        <v>1435.67034668</v>
      </c>
      <c r="H1025" s="11">
        <v>1435.54</v>
      </c>
      <c r="I1025" s="11">
        <f>H1025-G1025</f>
        <v>-0.13034668000000238</v>
      </c>
    </row>
    <row r="1026" spans="1:9">
      <c r="A1026" s="3" t="s">
        <v>170</v>
      </c>
      <c r="B1026" s="3" t="s">
        <v>512</v>
      </c>
      <c r="C1026" s="3">
        <v>15</v>
      </c>
      <c r="D1026" s="3">
        <v>15</v>
      </c>
      <c r="E1026" s="8">
        <v>-2.045455</v>
      </c>
      <c r="F1026" s="8">
        <v>-2.045</v>
      </c>
      <c r="G1026" s="11">
        <v>1694.5590417</v>
      </c>
      <c r="H1026" s="11">
        <v>1694.59</v>
      </c>
      <c r="I1026" s="11">
        <f>H1026-G1026</f>
        <v>0.03095830000006572</v>
      </c>
    </row>
    <row r="1027" spans="1:9">
      <c r="A1027" s="3" t="s">
        <v>170</v>
      </c>
      <c r="B1027" s="3" t="s">
        <v>513</v>
      </c>
      <c r="C1027" s="3">
        <v>16</v>
      </c>
      <c r="D1027" s="3">
        <v>16</v>
      </c>
      <c r="E1027" s="8">
        <v>-2.045455</v>
      </c>
      <c r="F1027" s="8">
        <v>-2.045</v>
      </c>
      <c r="G1027" s="11">
        <v>1590.13456946</v>
      </c>
      <c r="H1027" s="11">
        <v>1590.2</v>
      </c>
      <c r="I1027" s="11">
        <f>H1027-G1027</f>
        <v>0.06543054000007942</v>
      </c>
    </row>
    <row r="1028" spans="1:9">
      <c r="A1028" s="3" t="s">
        <v>170</v>
      </c>
      <c r="B1028" s="3" t="s">
        <v>514</v>
      </c>
      <c r="C1028" s="3">
        <v>14</v>
      </c>
      <c r="D1028" s="3">
        <v>14</v>
      </c>
      <c r="E1028" s="8">
        <v>-1.962329</v>
      </c>
      <c r="F1028" s="8">
        <v>-1.963</v>
      </c>
      <c r="G1028" s="11">
        <v>1468.68482198</v>
      </c>
      <c r="H1028" s="11">
        <v>1468.56</v>
      </c>
      <c r="I1028" s="11">
        <f>H1028-G1028</f>
        <v>-0.1248219799999788</v>
      </c>
    </row>
    <row r="1029" spans="1:9">
      <c r="A1029" s="3" t="s">
        <v>170</v>
      </c>
      <c r="B1029" s="3" t="s">
        <v>515</v>
      </c>
      <c r="C1029" s="3">
        <v>11</v>
      </c>
      <c r="D1029" s="3">
        <v>11</v>
      </c>
      <c r="E1029" s="8">
        <v>-1.579204</v>
      </c>
      <c r="F1029" s="8">
        <v>-1.58</v>
      </c>
      <c r="G1029" s="11">
        <v>1619.32437528</v>
      </c>
      <c r="H1029" s="11">
        <v>1619.19</v>
      </c>
      <c r="I1029" s="11">
        <f>H1029-G1029</f>
        <v>-0.13437527999985832</v>
      </c>
    </row>
    <row r="1030" spans="1:9">
      <c r="A1030" s="3" t="s">
        <v>170</v>
      </c>
      <c r="B1030" s="3" t="s">
        <v>516</v>
      </c>
      <c r="C1030" s="3">
        <v>12</v>
      </c>
      <c r="D1030" s="3">
        <v>12</v>
      </c>
      <c r="E1030" s="8">
        <v>-1.662329</v>
      </c>
      <c r="F1030" s="8">
        <v>-1.663</v>
      </c>
      <c r="G1030" s="11">
        <v>1735.61727747</v>
      </c>
      <c r="H1030" s="11">
        <v>1735.49</v>
      </c>
      <c r="I1030" s="11">
        <f>H1030-G1030</f>
        <v>-0.12727747000008094</v>
      </c>
    </row>
    <row r="1031" spans="1:9">
      <c r="A1031" s="3" t="s">
        <v>170</v>
      </c>
      <c r="B1031" s="3" t="s">
        <v>517</v>
      </c>
      <c r="C1031" s="3">
        <v>11</v>
      </c>
      <c r="D1031" s="3">
        <v>11</v>
      </c>
      <c r="E1031" s="8">
        <v>-1.579204</v>
      </c>
      <c r="F1031" s="8">
        <v>-1.58</v>
      </c>
      <c r="G1031" s="11">
        <v>1644.14479156</v>
      </c>
      <c r="H1031" s="11">
        <v>1644</v>
      </c>
      <c r="I1031" s="11">
        <f>H1031-G1031</f>
        <v>-0.14479155999993054</v>
      </c>
    </row>
    <row r="1032" spans="1:9">
      <c r="A1032" s="3" t="s">
        <v>170</v>
      </c>
      <c r="B1032" s="3" t="s">
        <v>518</v>
      </c>
      <c r="C1032" s="3">
        <v>11</v>
      </c>
      <c r="D1032" s="3">
        <v>11</v>
      </c>
      <c r="E1032" s="8">
        <v>-1.579204</v>
      </c>
      <c r="F1032" s="8">
        <v>-1.58</v>
      </c>
      <c r="G1032" s="11">
        <v>1473.85751864</v>
      </c>
      <c r="H1032" s="11">
        <v>1473.74</v>
      </c>
      <c r="I1032" s="11">
        <f>H1032-G1032</f>
        <v>-0.11751864000007117</v>
      </c>
    </row>
    <row r="1033" spans="1:9">
      <c r="A1033" s="3" t="s">
        <v>170</v>
      </c>
      <c r="B1033" s="3" t="s">
        <v>519</v>
      </c>
      <c r="C1033" s="3">
        <v>16</v>
      </c>
      <c r="D1033" s="3">
        <v>16</v>
      </c>
      <c r="E1033" s="8">
        <v>-2.045455</v>
      </c>
      <c r="F1033" s="8">
        <v>-2.045</v>
      </c>
      <c r="G1033" s="11">
        <v>1480.05168864</v>
      </c>
      <c r="H1033" s="11">
        <v>1480.08</v>
      </c>
      <c r="I1033" s="11">
        <f>H1033-G1033</f>
        <v>0.028311360000088825</v>
      </c>
    </row>
    <row r="1034" spans="1:9">
      <c r="A1034" s="3" t="s">
        <v>170</v>
      </c>
      <c r="B1034" s="3" t="s">
        <v>520</v>
      </c>
      <c r="C1034" s="3">
        <v>15</v>
      </c>
      <c r="D1034" s="3">
        <v>15</v>
      </c>
      <c r="E1034" s="8">
        <v>-2.045455</v>
      </c>
      <c r="F1034" s="8">
        <v>-2.045</v>
      </c>
      <c r="G1034" s="11">
        <v>1975.41798022</v>
      </c>
      <c r="H1034" s="11">
        <v>1975.51</v>
      </c>
      <c r="I1034" s="11">
        <f>H1034-G1034</f>
        <v>0.09201978000010058</v>
      </c>
    </row>
    <row r="1035" spans="1:9">
      <c r="A1035" s="3" t="s">
        <v>170</v>
      </c>
      <c r="B1035" s="3" t="s">
        <v>521</v>
      </c>
      <c r="C1035" s="3">
        <v>16</v>
      </c>
      <c r="D1035" s="3">
        <v>16</v>
      </c>
      <c r="E1035" s="8">
        <v>-2.045454</v>
      </c>
      <c r="F1035" s="8">
        <v>-2.045</v>
      </c>
      <c r="G1035" s="11">
        <v>2358.83375466</v>
      </c>
      <c r="H1035" s="11">
        <v>2358.86</v>
      </c>
      <c r="I1035" s="11">
        <f>H1035-G1035</f>
        <v>0.026245340000059514</v>
      </c>
    </row>
    <row r="1036" spans="1:9">
      <c r="A1036" s="3" t="s">
        <v>170</v>
      </c>
      <c r="B1036" s="3" t="s">
        <v>522</v>
      </c>
      <c r="C1036" s="3">
        <v>15</v>
      </c>
      <c r="D1036" s="3">
        <v>15</v>
      </c>
      <c r="E1036" s="8">
        <v>-2.045455</v>
      </c>
      <c r="F1036" s="8">
        <v>-2.046</v>
      </c>
      <c r="G1036" s="11">
        <v>1568.82929524</v>
      </c>
      <c r="H1036" s="11">
        <v>1568.7</v>
      </c>
      <c r="I1036" s="11">
        <f>H1036-G1036</f>
        <v>-0.12929523999991943</v>
      </c>
    </row>
    <row r="1037" spans="1:9">
      <c r="A1037" s="3" t="s">
        <v>170</v>
      </c>
      <c r="B1037" s="3" t="s">
        <v>523</v>
      </c>
      <c r="C1037" s="3">
        <v>14</v>
      </c>
      <c r="D1037" s="3">
        <v>14</v>
      </c>
      <c r="E1037" s="8">
        <v>-1.918806</v>
      </c>
      <c r="F1037" s="8">
        <v>-1.919</v>
      </c>
      <c r="G1037" s="11">
        <v>926.8486554</v>
      </c>
      <c r="H1037" s="11">
        <v>926.8199999999999</v>
      </c>
      <c r="I1037" s="11">
        <f>H1037-G1037</f>
        <v>-0.028655400000047848</v>
      </c>
    </row>
    <row r="1038" spans="1:9">
      <c r="A1038" s="3" t="s">
        <v>170</v>
      </c>
      <c r="B1038" s="3" t="s">
        <v>524</v>
      </c>
      <c r="C1038" s="3">
        <v>9</v>
      </c>
      <c r="D1038" s="3">
        <v>9</v>
      </c>
      <c r="E1038" s="8">
        <v>-1.279204</v>
      </c>
      <c r="F1038" s="8">
        <v>-1.28</v>
      </c>
      <c r="G1038" s="11">
        <v>1714.27383812</v>
      </c>
      <c r="H1038" s="11">
        <v>1714.12</v>
      </c>
      <c r="I1038" s="11">
        <f>H1038-G1038</f>
        <v>-0.15383811999981845</v>
      </c>
    </row>
    <row r="1039" spans="1:9">
      <c r="A1039" s="3" t="s">
        <v>170</v>
      </c>
      <c r="B1039" s="3" t="s">
        <v>525</v>
      </c>
      <c r="C1039" s="3">
        <v>9</v>
      </c>
      <c r="D1039" s="3">
        <v>9</v>
      </c>
      <c r="E1039" s="8">
        <v>-1.279204</v>
      </c>
      <c r="F1039" s="8">
        <v>-1.28</v>
      </c>
      <c r="G1039" s="11">
        <v>1756.42048748</v>
      </c>
      <c r="H1039" s="11">
        <v>1756.26</v>
      </c>
      <c r="I1039" s="11">
        <f>H1039-G1039</f>
        <v>-0.1604874799998015</v>
      </c>
    </row>
    <row r="1040" spans="1:9">
      <c r="A1040" s="3" t="s">
        <v>170</v>
      </c>
      <c r="B1040" s="3" t="s">
        <v>526</v>
      </c>
      <c r="C1040" s="3">
        <v>15</v>
      </c>
      <c r="D1040" s="3">
        <v>15</v>
      </c>
      <c r="E1040" s="8">
        <v>-2.045455</v>
      </c>
      <c r="F1040" s="8">
        <v>-2.045</v>
      </c>
      <c r="G1040" s="11">
        <v>1680.99525648</v>
      </c>
      <c r="H1040" s="11">
        <v>1681.03</v>
      </c>
      <c r="I1040" s="11">
        <f>H1040-G1040</f>
        <v>0.03474351999989267</v>
      </c>
    </row>
    <row r="1041" spans="1:9">
      <c r="A1041" s="3" t="s">
        <v>170</v>
      </c>
      <c r="B1041" s="3" t="s">
        <v>527</v>
      </c>
      <c r="C1041" s="3">
        <v>16</v>
      </c>
      <c r="D1041" s="3">
        <v>16</v>
      </c>
      <c r="E1041" s="8">
        <v>-2.045455</v>
      </c>
      <c r="F1041" s="8">
        <v>-2.045</v>
      </c>
      <c r="G1041" s="11">
        <v>1558.08847975</v>
      </c>
      <c r="H1041" s="11">
        <v>1558.14</v>
      </c>
      <c r="I1041" s="11">
        <f>H1041-G1041</f>
        <v>0.05152025000006688</v>
      </c>
    </row>
    <row r="1042" spans="1:9">
      <c r="A1042" s="3" t="s">
        <v>170</v>
      </c>
      <c r="B1042" s="3" t="s">
        <v>528</v>
      </c>
      <c r="C1042" s="3">
        <v>15</v>
      </c>
      <c r="D1042" s="3">
        <v>15</v>
      </c>
      <c r="E1042" s="8">
        <v>-2.045455</v>
      </c>
      <c r="F1042" s="8">
        <v>-2.045</v>
      </c>
      <c r="G1042" s="11">
        <v>1668.20831809</v>
      </c>
      <c r="H1042" s="11">
        <v>1668.26</v>
      </c>
      <c r="I1042" s="11">
        <f>H1042-G1042</f>
        <v>0.05168190999961553</v>
      </c>
    </row>
    <row r="1043" spans="1:9">
      <c r="A1043" s="3" t="s">
        <v>170</v>
      </c>
      <c r="B1043" s="3" t="s">
        <v>529</v>
      </c>
      <c r="C1043" s="3">
        <v>15</v>
      </c>
      <c r="D1043" s="3">
        <v>15</v>
      </c>
      <c r="E1043" s="8">
        <v>-2.045455</v>
      </c>
      <c r="F1043" s="8">
        <v>-2.045</v>
      </c>
      <c r="G1043" s="11">
        <v>1568.18959807</v>
      </c>
      <c r="H1043" s="11">
        <v>1568.24</v>
      </c>
      <c r="I1043" s="11">
        <f>H1043-G1043</f>
        <v>0.050401929999907225</v>
      </c>
    </row>
    <row r="1044" spans="1:9">
      <c r="A1044" s="3" t="s">
        <v>170</v>
      </c>
      <c r="B1044" s="3" t="s">
        <v>530</v>
      </c>
      <c r="C1044" s="3">
        <v>9</v>
      </c>
      <c r="D1044" s="3">
        <v>9</v>
      </c>
      <c r="E1044" s="8">
        <v>-1.279204</v>
      </c>
      <c r="F1044" s="8">
        <v>-1.28</v>
      </c>
      <c r="G1044" s="11">
        <v>1589.50425068</v>
      </c>
      <c r="H1044" s="11">
        <v>1589.35</v>
      </c>
      <c r="I1044" s="11">
        <f>H1044-G1044</f>
        <v>-0.15425068000013198</v>
      </c>
    </row>
    <row r="1045" spans="1:9">
      <c r="A1045" s="3" t="s">
        <v>170</v>
      </c>
      <c r="B1045" s="3" t="s">
        <v>531</v>
      </c>
      <c r="C1045" s="3">
        <v>11</v>
      </c>
      <c r="D1045" s="3">
        <v>11</v>
      </c>
      <c r="E1045" s="8">
        <v>-1.579204</v>
      </c>
      <c r="F1045" s="8">
        <v>-1.58</v>
      </c>
      <c r="G1045" s="11">
        <v>1771.41589056</v>
      </c>
      <c r="H1045" s="11">
        <v>1771.27</v>
      </c>
      <c r="I1045" s="11">
        <f>H1045-G1045</f>
        <v>-0.145890559999998</v>
      </c>
    </row>
    <row r="1046" spans="1:9">
      <c r="A1046" s="3" t="s">
        <v>170</v>
      </c>
      <c r="B1046" s="3" t="s">
        <v>532</v>
      </c>
      <c r="C1046" s="3">
        <v>13</v>
      </c>
      <c r="D1046" s="3">
        <v>13</v>
      </c>
      <c r="E1046" s="8">
        <v>-1.879204</v>
      </c>
      <c r="F1046" s="8">
        <v>-1.88</v>
      </c>
      <c r="G1046" s="11">
        <v>1626.55477484</v>
      </c>
      <c r="H1046" s="11">
        <v>1626.43</v>
      </c>
      <c r="I1046" s="11">
        <f>H1046-G1046</f>
        <v>-0.12477484000010008</v>
      </c>
    </row>
    <row r="1047" spans="1:9">
      <c r="A1047" s="3" t="s">
        <v>170</v>
      </c>
      <c r="B1047" s="3" t="s">
        <v>533</v>
      </c>
      <c r="C1047" s="3">
        <v>15</v>
      </c>
      <c r="D1047" s="3">
        <v>15</v>
      </c>
      <c r="E1047" s="8">
        <v>-2.045455</v>
      </c>
      <c r="F1047" s="8">
        <v>-2.045</v>
      </c>
      <c r="G1047" s="11">
        <v>1637.16095581</v>
      </c>
      <c r="H1047" s="11">
        <v>1637.22</v>
      </c>
      <c r="I1047" s="11">
        <f>H1047-G1047</f>
        <v>0.0590441900001224</v>
      </c>
    </row>
    <row r="1048" spans="1:9">
      <c r="A1048" s="3" t="s">
        <v>170</v>
      </c>
      <c r="B1048" s="3" t="s">
        <v>534</v>
      </c>
      <c r="C1048" s="3">
        <v>15</v>
      </c>
      <c r="D1048" s="3">
        <v>15</v>
      </c>
      <c r="E1048" s="8">
        <v>-2.045453999999999</v>
      </c>
      <c r="F1048" s="8">
        <v>-2.046</v>
      </c>
      <c r="G1048" s="11">
        <v>1832.19902331</v>
      </c>
      <c r="H1048" s="11">
        <v>1832.12</v>
      </c>
      <c r="I1048" s="11">
        <f>H1048-G1048</f>
        <v>-0.07902331000013874</v>
      </c>
    </row>
    <row r="1049" spans="1:9">
      <c r="A1049" s="3" t="s">
        <v>170</v>
      </c>
      <c r="B1049" s="3" t="s">
        <v>535</v>
      </c>
      <c r="C1049" s="3">
        <v>15</v>
      </c>
      <c r="D1049" s="3">
        <v>15</v>
      </c>
      <c r="E1049" s="8">
        <v>-2.045455</v>
      </c>
      <c r="F1049" s="8">
        <v>-2.045</v>
      </c>
      <c r="G1049" s="11">
        <v>2928.64735042</v>
      </c>
      <c r="H1049" s="11">
        <v>2928.67</v>
      </c>
      <c r="I1049" s="11">
        <f>H1049-G1049</f>
        <v>0.022649580000233982</v>
      </c>
    </row>
    <row r="1050" spans="1:9">
      <c r="A1050" s="3" t="s">
        <v>170</v>
      </c>
      <c r="B1050" s="3" t="s">
        <v>536</v>
      </c>
      <c r="C1050" s="3">
        <v>16</v>
      </c>
      <c r="D1050" s="3">
        <v>16</v>
      </c>
      <c r="E1050" s="8">
        <v>-2.045455</v>
      </c>
      <c r="F1050" s="8">
        <v>-2.045</v>
      </c>
      <c r="G1050" s="11">
        <v>3616.3134858</v>
      </c>
      <c r="H1050" s="11">
        <v>3616.4</v>
      </c>
      <c r="I1050" s="11">
        <f>H1050-G1050</f>
        <v>0.0865142000002379</v>
      </c>
    </row>
    <row r="1051" spans="1:9">
      <c r="A1051" s="3" t="s">
        <v>170</v>
      </c>
      <c r="B1051" s="3" t="s">
        <v>537</v>
      </c>
      <c r="C1051" s="3">
        <v>15</v>
      </c>
      <c r="D1051" s="3">
        <v>15</v>
      </c>
      <c r="E1051" s="8">
        <v>-2.045455</v>
      </c>
      <c r="F1051" s="8">
        <v>-2.045</v>
      </c>
      <c r="G1051" s="11">
        <v>2375.90353656</v>
      </c>
      <c r="H1051" s="11">
        <v>2375.94</v>
      </c>
      <c r="I1051" s="11">
        <f>H1051-G1051</f>
        <v>0.036463439999806724</v>
      </c>
    </row>
    <row r="1052" spans="1:9">
      <c r="A1052" s="3" t="s">
        <v>170</v>
      </c>
      <c r="B1052" s="3" t="s">
        <v>538</v>
      </c>
      <c r="C1052" s="3">
        <v>15</v>
      </c>
      <c r="D1052" s="3">
        <v>15</v>
      </c>
      <c r="E1052" s="8">
        <v>-2.045455</v>
      </c>
      <c r="F1052" s="8">
        <v>-2.045</v>
      </c>
      <c r="G1052" s="11">
        <v>1691.75424273</v>
      </c>
      <c r="H1052" s="11">
        <v>1691.83</v>
      </c>
      <c r="I1052" s="11">
        <f>H1052-G1052</f>
        <v>0.07575726999994004</v>
      </c>
    </row>
    <row r="1053" spans="1:9">
      <c r="A1053" s="3" t="s">
        <v>170</v>
      </c>
      <c r="B1053" s="3" t="s">
        <v>539</v>
      </c>
      <c r="C1053" s="3">
        <v>11</v>
      </c>
      <c r="D1053" s="3">
        <v>11</v>
      </c>
      <c r="E1053" s="8">
        <v>-1.579204</v>
      </c>
      <c r="F1053" s="8">
        <v>-1.58</v>
      </c>
      <c r="G1053" s="11">
        <v>1347.86984316</v>
      </c>
      <c r="H1053" s="11">
        <v>1347.72</v>
      </c>
      <c r="I1053" s="11">
        <f>H1053-G1053</f>
        <v>-0.14984316000004583</v>
      </c>
    </row>
    <row r="1054" spans="1:9">
      <c r="A1054" s="3" t="s">
        <v>170</v>
      </c>
      <c r="B1054" s="3" t="s">
        <v>540</v>
      </c>
      <c r="C1054" s="3">
        <v>16</v>
      </c>
      <c r="D1054" s="3">
        <v>16</v>
      </c>
      <c r="E1054" s="8">
        <v>-2.045455</v>
      </c>
      <c r="F1054" s="8">
        <v>-2.045</v>
      </c>
      <c r="G1054" s="11">
        <v>555.0738957000001</v>
      </c>
      <c r="H1054" s="11">
        <v>555.15</v>
      </c>
      <c r="I1054" s="11">
        <f>H1054-G1054</f>
        <v>0.07610429999988355</v>
      </c>
    </row>
    <row r="1055" spans="1:9">
      <c r="A1055" s="3" t="s">
        <v>170</v>
      </c>
      <c r="B1055" s="3" t="s">
        <v>541</v>
      </c>
      <c r="C1055" s="3">
        <v>15</v>
      </c>
      <c r="D1055" s="3">
        <v>15</v>
      </c>
      <c r="E1055" s="8">
        <v>-2.045455</v>
      </c>
      <c r="F1055" s="8">
        <v>-2.045</v>
      </c>
      <c r="G1055" s="11">
        <v>608.91070812</v>
      </c>
      <c r="H1055" s="11">
        <v>608.9799999999999</v>
      </c>
      <c r="I1055" s="11">
        <f>H1055-G1055</f>
        <v>0.06929187999992337</v>
      </c>
    </row>
    <row r="1056" spans="1:9">
      <c r="A1056" s="3" t="s">
        <v>170</v>
      </c>
      <c r="B1056" s="3" t="s">
        <v>542</v>
      </c>
      <c r="C1056" s="3">
        <v>16</v>
      </c>
      <c r="D1056" s="3">
        <v>16</v>
      </c>
      <c r="E1056" s="8">
        <v>-2.045455</v>
      </c>
      <c r="F1056" s="8">
        <v>-2.045</v>
      </c>
      <c r="G1056" s="11">
        <v>600.7918326200002</v>
      </c>
      <c r="H1056" s="11">
        <v>600.8599999999999</v>
      </c>
      <c r="I1056" s="11">
        <f>H1056-G1056</f>
        <v>0.06816737999974976</v>
      </c>
    </row>
    <row r="1057" spans="1:9">
      <c r="A1057" s="3" t="s">
        <v>170</v>
      </c>
      <c r="B1057" s="3" t="s">
        <v>543</v>
      </c>
      <c r="C1057" s="3">
        <v>15</v>
      </c>
      <c r="D1057" s="3">
        <v>15</v>
      </c>
      <c r="E1057" s="8">
        <v>-2.045455</v>
      </c>
      <c r="F1057" s="8">
        <v>-2.045</v>
      </c>
      <c r="G1057" s="11">
        <v>1168.95755525</v>
      </c>
      <c r="H1057" s="11">
        <v>1169.02</v>
      </c>
      <c r="I1057" s="11">
        <f>H1057-G1057</f>
        <v>0.06244474999994054</v>
      </c>
    </row>
    <row r="1058" spans="1:9">
      <c r="A1058" s="3" t="s">
        <v>170</v>
      </c>
      <c r="B1058" s="3" t="s">
        <v>544</v>
      </c>
      <c r="C1058" s="3">
        <v>16</v>
      </c>
      <c r="D1058" s="3">
        <v>16</v>
      </c>
      <c r="E1058" s="8">
        <v>-2.045455</v>
      </c>
      <c r="F1058" s="8">
        <v>-2.045</v>
      </c>
      <c r="G1058" s="11">
        <v>495.5579209100001</v>
      </c>
      <c r="H1058" s="11">
        <v>495.6200000000001</v>
      </c>
      <c r="I1058" s="11">
        <f>H1058-G1058</f>
        <v>0.062079089999940607</v>
      </c>
    </row>
    <row r="1059" spans="1:9">
      <c r="A1059" s="3" t="s">
        <v>170</v>
      </c>
      <c r="B1059" s="3" t="s">
        <v>545</v>
      </c>
      <c r="C1059" s="3">
        <v>9</v>
      </c>
      <c r="D1059" s="3">
        <v>9</v>
      </c>
      <c r="E1059" s="8">
        <v>-1.279204</v>
      </c>
      <c r="F1059" s="8">
        <v>-1.28</v>
      </c>
      <c r="G1059" s="11">
        <v>1630.21286804</v>
      </c>
      <c r="H1059" s="11">
        <v>1630.04</v>
      </c>
      <c r="I1059" s="11">
        <f>H1059-G1059</f>
        <v>-0.17286804000013944</v>
      </c>
    </row>
    <row r="1060" spans="1:9">
      <c r="A1060" s="3" t="s">
        <v>170</v>
      </c>
      <c r="B1060" s="3" t="s">
        <v>546</v>
      </c>
      <c r="C1060" s="3">
        <v>9</v>
      </c>
      <c r="D1060" s="3">
        <v>9</v>
      </c>
      <c r="E1060" s="8">
        <v>-1.279204</v>
      </c>
      <c r="F1060" s="8">
        <v>-1.28</v>
      </c>
      <c r="G1060" s="11">
        <v>1546.77181036</v>
      </c>
      <c r="H1060" s="11">
        <v>1546.64</v>
      </c>
      <c r="I1060" s="11">
        <f>H1060-G1060</f>
        <v>-0.131810360000145</v>
      </c>
    </row>
    <row r="1061" spans="1:9">
      <c r="A1061" s="3" t="s">
        <v>170</v>
      </c>
      <c r="B1061" s="3" t="s">
        <v>547</v>
      </c>
      <c r="C1061" s="3">
        <v>15</v>
      </c>
      <c r="D1061" s="3">
        <v>15</v>
      </c>
      <c r="E1061" s="8">
        <v>-2.045453999999999</v>
      </c>
      <c r="F1061" s="8">
        <v>-2.046</v>
      </c>
      <c r="G1061" s="11">
        <v>1928.2002099</v>
      </c>
      <c r="H1061" s="11">
        <v>1928.11</v>
      </c>
      <c r="I1061" s="11">
        <f>H1061-G1061</f>
        <v>-0.09020990000021811</v>
      </c>
    </row>
    <row r="1062" spans="1:9">
      <c r="A1062" s="3" t="s">
        <v>170</v>
      </c>
      <c r="B1062" s="3" t="s">
        <v>548</v>
      </c>
      <c r="C1062" s="3">
        <v>16</v>
      </c>
      <c r="D1062" s="3">
        <v>16</v>
      </c>
      <c r="E1062" s="8">
        <v>-2.045455</v>
      </c>
      <c r="F1062" s="8">
        <v>-2.045</v>
      </c>
      <c r="G1062" s="11">
        <v>1245.89798595</v>
      </c>
      <c r="H1062" s="11">
        <v>1245.94</v>
      </c>
      <c r="I1062" s="11">
        <f>H1062-G1062</f>
        <v>0.04201405000003433</v>
      </c>
    </row>
    <row r="1063" spans="1:9">
      <c r="A1063" s="3" t="s">
        <v>170</v>
      </c>
      <c r="B1063" s="3" t="s">
        <v>549</v>
      </c>
      <c r="C1063" s="3">
        <v>16</v>
      </c>
      <c r="D1063" s="3">
        <v>16</v>
      </c>
      <c r="E1063" s="8">
        <v>-2.045455</v>
      </c>
      <c r="F1063" s="8">
        <v>-2.045</v>
      </c>
      <c r="G1063" s="11">
        <v>1192.12650698</v>
      </c>
      <c r="H1063" s="11">
        <v>1192.2</v>
      </c>
      <c r="I1063" s="11">
        <f>H1063-G1063</f>
        <v>0.07349301999988711</v>
      </c>
    </row>
    <row r="1064" spans="1:9">
      <c r="A1064" s="3" t="s">
        <v>170</v>
      </c>
      <c r="B1064" s="3" t="s">
        <v>550</v>
      </c>
      <c r="C1064" s="3">
        <v>15</v>
      </c>
      <c r="D1064" s="3">
        <v>15</v>
      </c>
      <c r="E1064" s="8">
        <v>-2.045455</v>
      </c>
      <c r="F1064" s="8">
        <v>-2.045</v>
      </c>
      <c r="G1064" s="11">
        <v>1904.92471838</v>
      </c>
      <c r="H1064" s="11">
        <v>1904.96</v>
      </c>
      <c r="I1064" s="11">
        <f>H1064-G1064</f>
        <v>0.03528161999997792</v>
      </c>
    </row>
    <row r="1065" spans="1:9">
      <c r="A1065" s="3" t="s">
        <v>170</v>
      </c>
      <c r="B1065" s="3" t="s">
        <v>551</v>
      </c>
      <c r="C1065" s="3">
        <v>15</v>
      </c>
      <c r="D1065" s="3">
        <v>15</v>
      </c>
      <c r="E1065" s="8">
        <v>-2.045453999999999</v>
      </c>
      <c r="F1065" s="8">
        <v>-2.046</v>
      </c>
      <c r="G1065" s="11">
        <v>796.14485222</v>
      </c>
      <c r="H1065" s="11">
        <v>796.0699999999999</v>
      </c>
      <c r="I1065" s="11">
        <f>H1065-G1065</f>
        <v>-0.07485222000002523</v>
      </c>
    </row>
    <row r="1066" spans="1:9">
      <c r="A1066" s="3" t="s">
        <v>170</v>
      </c>
      <c r="B1066" s="3" t="s">
        <v>552</v>
      </c>
      <c r="C1066" s="3">
        <v>11</v>
      </c>
      <c r="D1066" s="3">
        <v>11</v>
      </c>
      <c r="E1066" s="8">
        <v>-1.579204</v>
      </c>
      <c r="F1066" s="8">
        <v>-1.58</v>
      </c>
      <c r="G1066" s="11">
        <v>1496.26514556</v>
      </c>
      <c r="H1066" s="11">
        <v>1496.13</v>
      </c>
      <c r="I1066" s="11">
        <f>H1066-G1066</f>
        <v>-0.135145559999728</v>
      </c>
    </row>
    <row r="1067" spans="1:9">
      <c r="A1067" s="3" t="s">
        <v>170</v>
      </c>
      <c r="B1067" s="3" t="s">
        <v>553</v>
      </c>
      <c r="C1067" s="3">
        <v>14</v>
      </c>
      <c r="D1067" s="3">
        <v>14</v>
      </c>
      <c r="E1067" s="8">
        <v>-1.918806</v>
      </c>
      <c r="F1067" s="8">
        <v>-1.919</v>
      </c>
      <c r="G1067" s="11">
        <v>1422.58515702</v>
      </c>
      <c r="H1067" s="11">
        <v>1422.56</v>
      </c>
      <c r="I1067" s="11">
        <f>H1067-G1067</f>
        <v>-0.02515702000005149</v>
      </c>
    </row>
    <row r="1068" spans="1:9">
      <c r="A1068" s="3" t="s">
        <v>170</v>
      </c>
      <c r="B1068" s="3" t="s">
        <v>554</v>
      </c>
      <c r="C1068" s="3">
        <v>15</v>
      </c>
      <c r="D1068" s="3">
        <v>15</v>
      </c>
      <c r="E1068" s="8">
        <v>-2.045455</v>
      </c>
      <c r="F1068" s="8">
        <v>-2.045</v>
      </c>
      <c r="G1068" s="11">
        <v>1703.32745305</v>
      </c>
      <c r="H1068" s="11">
        <v>1703.37</v>
      </c>
      <c r="I1068" s="11">
        <f>H1068-G1068</f>
        <v>0.042546950000087236</v>
      </c>
    </row>
    <row r="1069" spans="1:9">
      <c r="A1069" s="3" t="s">
        <v>170</v>
      </c>
      <c r="B1069" s="3" t="s">
        <v>555</v>
      </c>
      <c r="C1069" s="3">
        <v>16</v>
      </c>
      <c r="D1069" s="3">
        <v>16</v>
      </c>
      <c r="E1069" s="8">
        <v>-2.045455</v>
      </c>
      <c r="F1069" s="8">
        <v>-2.045</v>
      </c>
      <c r="G1069" s="11">
        <v>1792.27047726</v>
      </c>
      <c r="H1069" s="11">
        <v>1792.34</v>
      </c>
      <c r="I1069" s="11">
        <f>H1069-G1069</f>
        <v>0.06952273999991121</v>
      </c>
    </row>
    <row r="1070" spans="1:9">
      <c r="A1070" s="3" t="s">
        <v>170</v>
      </c>
      <c r="B1070" s="3" t="s">
        <v>556</v>
      </c>
      <c r="C1070" s="3">
        <v>16</v>
      </c>
      <c r="D1070" s="3">
        <v>16</v>
      </c>
      <c r="E1070" s="8">
        <v>-2.045455</v>
      </c>
      <c r="F1070" s="8">
        <v>-2.045</v>
      </c>
      <c r="G1070" s="11">
        <v>1383.00507293</v>
      </c>
      <c r="H1070" s="11">
        <v>1383.09</v>
      </c>
      <c r="I1070" s="11">
        <f>H1070-G1070</f>
        <v>0.08492706999982147</v>
      </c>
    </row>
    <row r="1071" spans="1:9">
      <c r="A1071" s="3" t="s">
        <v>170</v>
      </c>
      <c r="B1071" s="3" t="s">
        <v>557</v>
      </c>
      <c r="C1071" s="3">
        <v>15</v>
      </c>
      <c r="D1071" s="3">
        <v>15</v>
      </c>
      <c r="E1071" s="8">
        <v>-2.045453999999999</v>
      </c>
      <c r="F1071" s="8">
        <v>-2.046</v>
      </c>
      <c r="G1071" s="11">
        <v>1675.70775905</v>
      </c>
      <c r="H1071" s="11">
        <v>1675.61</v>
      </c>
      <c r="I1071" s="11">
        <f>H1071-G1071</f>
        <v>-0.09775904999969498</v>
      </c>
    </row>
    <row r="1072" spans="1:9">
      <c r="A1072" s="3" t="s">
        <v>170</v>
      </c>
      <c r="B1072" s="3" t="s">
        <v>558</v>
      </c>
      <c r="C1072" s="3">
        <v>16</v>
      </c>
      <c r="D1072" s="3">
        <v>16</v>
      </c>
      <c r="E1072" s="8">
        <v>-2.045455</v>
      </c>
      <c r="F1072" s="8">
        <v>-2.045</v>
      </c>
      <c r="G1072" s="11">
        <v>1639.85594469</v>
      </c>
      <c r="H1072" s="11">
        <v>1639.9</v>
      </c>
      <c r="I1072" s="11">
        <f>H1072-G1072</f>
        <v>0.04405531000020346</v>
      </c>
    </row>
    <row r="1073" spans="1:9">
      <c r="A1073" s="3" t="s">
        <v>170</v>
      </c>
      <c r="B1073" s="3" t="s">
        <v>559</v>
      </c>
      <c r="C1073" s="3">
        <v>15</v>
      </c>
      <c r="D1073" s="3">
        <v>15</v>
      </c>
      <c r="E1073" s="8">
        <v>-2.045455</v>
      </c>
      <c r="F1073" s="8">
        <v>-3.526000000000001</v>
      </c>
      <c r="G1073" s="11">
        <v>1002.16447964</v>
      </c>
      <c r="H1073" s="11">
        <v>694.23</v>
      </c>
      <c r="I1073" s="11">
        <f>H1073-G1073</f>
        <v>-307.93447963999995</v>
      </c>
    </row>
    <row r="1074" spans="1:9">
      <c r="A1074" s="3" t="s">
        <v>170</v>
      </c>
      <c r="B1074" s="3" t="s">
        <v>560</v>
      </c>
      <c r="C1074" s="3">
        <v>9</v>
      </c>
      <c r="D1074" s="3">
        <v>9</v>
      </c>
      <c r="E1074" s="8">
        <v>-1.279204</v>
      </c>
      <c r="F1074" s="8">
        <v>-1.28</v>
      </c>
      <c r="G1074" s="11">
        <v>1698.08456272</v>
      </c>
      <c r="H1074" s="11">
        <v>1697.95</v>
      </c>
      <c r="I1074" s="11">
        <f>H1074-G1074</f>
        <v>-0.1345627200000763</v>
      </c>
    </row>
    <row r="1075" spans="1:9">
      <c r="A1075" s="3" t="s">
        <v>170</v>
      </c>
      <c r="B1075" s="3" t="s">
        <v>561</v>
      </c>
      <c r="C1075" s="3">
        <v>15</v>
      </c>
      <c r="D1075" s="3">
        <v>15</v>
      </c>
      <c r="E1075" s="8">
        <v>-2.045453999999999</v>
      </c>
      <c r="F1075" s="8">
        <v>-2.046</v>
      </c>
      <c r="G1075" s="11">
        <v>2059.71012523</v>
      </c>
      <c r="H1075" s="11">
        <v>2059.62</v>
      </c>
      <c r="I1075" s="11">
        <f>H1075-G1075</f>
        <v>-0.09012523000001238</v>
      </c>
    </row>
    <row r="1076" spans="1:9">
      <c r="A1076" s="3" t="s">
        <v>170</v>
      </c>
      <c r="B1076" s="3" t="s">
        <v>562</v>
      </c>
      <c r="C1076" s="3">
        <v>16</v>
      </c>
      <c r="D1076" s="3">
        <v>16</v>
      </c>
      <c r="E1076" s="8">
        <v>-2.045455</v>
      </c>
      <c r="F1076" s="8">
        <v>-2.045</v>
      </c>
      <c r="G1076" s="11">
        <v>2619.30350727</v>
      </c>
      <c r="H1076" s="11">
        <v>2619.38</v>
      </c>
      <c r="I1076" s="11">
        <f>H1076-G1076</f>
        <v>0.07649273000015455</v>
      </c>
    </row>
    <row r="1077" spans="1:9">
      <c r="A1077" s="3" t="s">
        <v>170</v>
      </c>
      <c r="B1077" s="3" t="s">
        <v>563</v>
      </c>
      <c r="C1077" s="3">
        <v>16</v>
      </c>
      <c r="D1077" s="3">
        <v>16</v>
      </c>
      <c r="E1077" s="8">
        <v>-2.045455</v>
      </c>
      <c r="F1077" s="8">
        <v>-2.045</v>
      </c>
      <c r="G1077" s="11">
        <v>1524.34391973</v>
      </c>
      <c r="H1077" s="11">
        <v>1524.39</v>
      </c>
      <c r="I1077" s="11">
        <f>H1077-G1077</f>
        <v>0.046080270000175005</v>
      </c>
    </row>
    <row r="1078" spans="1:9">
      <c r="A1078" s="3" t="s">
        <v>170</v>
      </c>
      <c r="B1078" s="3" t="s">
        <v>564</v>
      </c>
      <c r="C1078" s="3">
        <v>16</v>
      </c>
      <c r="D1078" s="3">
        <v>16</v>
      </c>
      <c r="E1078" s="8">
        <v>-2.045455</v>
      </c>
      <c r="F1078" s="8">
        <v>-2.045</v>
      </c>
      <c r="G1078" s="11">
        <v>3390.48918927</v>
      </c>
      <c r="H1078" s="11">
        <v>3390.52</v>
      </c>
      <c r="I1078" s="11">
        <f>H1078-G1078</f>
        <v>0.030810729999757314</v>
      </c>
    </row>
    <row r="1079" spans="1:9">
      <c r="A1079" s="3" t="s">
        <v>170</v>
      </c>
      <c r="B1079" s="3" t="s">
        <v>565</v>
      </c>
      <c r="C1079" s="3">
        <v>15</v>
      </c>
      <c r="D1079" s="3">
        <v>15</v>
      </c>
      <c r="E1079" s="8">
        <v>-2.045453999999999</v>
      </c>
      <c r="F1079" s="8">
        <v>-2.046</v>
      </c>
      <c r="G1079" s="11">
        <v>1440.84253396</v>
      </c>
      <c r="H1079" s="11">
        <v>1440.75</v>
      </c>
      <c r="I1079" s="11">
        <f>H1079-G1079</f>
        <v>-0.09253396000053726</v>
      </c>
    </row>
    <row r="1080" spans="1:9">
      <c r="A1080" s="3" t="s">
        <v>170</v>
      </c>
      <c r="B1080" s="3" t="s">
        <v>566</v>
      </c>
      <c r="C1080" s="3">
        <v>14</v>
      </c>
      <c r="D1080" s="3">
        <v>14</v>
      </c>
      <c r="E1080" s="8">
        <v>-1.918806</v>
      </c>
      <c r="F1080" s="8">
        <v>-1.919</v>
      </c>
      <c r="G1080" s="11">
        <v>1873.10968112</v>
      </c>
      <c r="H1080" s="11">
        <v>1873.05</v>
      </c>
      <c r="I1080" s="11">
        <f>H1080-G1080</f>
        <v>-0.059681120000050214</v>
      </c>
    </row>
    <row r="1081" spans="1:9">
      <c r="A1081" s="3" t="s">
        <v>170</v>
      </c>
      <c r="B1081" s="3" t="s">
        <v>567</v>
      </c>
      <c r="C1081" s="3">
        <v>10</v>
      </c>
      <c r="D1081" s="3">
        <v>10</v>
      </c>
      <c r="E1081" s="8">
        <v>-1.32142</v>
      </c>
      <c r="F1081" s="8">
        <v>-1.322</v>
      </c>
      <c r="G1081" s="11">
        <v>947.8829169999999</v>
      </c>
      <c r="H1081" s="11">
        <v>947.7600000000001</v>
      </c>
      <c r="I1081" s="11">
        <f>H1081-G1081</f>
        <v>-0.1229169999998021</v>
      </c>
    </row>
    <row r="1082" spans="1:9">
      <c r="A1082" s="3" t="s">
        <v>170</v>
      </c>
      <c r="B1082" s="3" t="s">
        <v>568</v>
      </c>
      <c r="C1082" s="3">
        <v>16</v>
      </c>
      <c r="D1082" s="3">
        <v>16</v>
      </c>
      <c r="E1082" s="8">
        <v>-2.045455</v>
      </c>
      <c r="F1082" s="8">
        <v>-2.045</v>
      </c>
      <c r="G1082" s="11">
        <v>4077.25026851</v>
      </c>
      <c r="H1082" s="11">
        <v>4077.27</v>
      </c>
      <c r="I1082" s="11">
        <f>H1082-G1082</f>
        <v>0.019731489999685436</v>
      </c>
    </row>
    <row r="1083" spans="1:9">
      <c r="A1083" s="3" t="s">
        <v>170</v>
      </c>
      <c r="B1083" s="3" t="s">
        <v>569</v>
      </c>
      <c r="C1083" s="3">
        <v>16</v>
      </c>
      <c r="D1083" s="3">
        <v>16</v>
      </c>
      <c r="E1083" s="8">
        <v>-2.045455</v>
      </c>
      <c r="F1083" s="8">
        <v>-2.045</v>
      </c>
      <c r="G1083" s="11">
        <v>2781.81978161</v>
      </c>
      <c r="H1083" s="11">
        <v>2781.92</v>
      </c>
      <c r="I1083" s="11">
        <f>H1083-G1083</f>
        <v>0.1002183900000091</v>
      </c>
    </row>
    <row r="1084" spans="1:9">
      <c r="A1084" s="3" t="s">
        <v>170</v>
      </c>
      <c r="B1084" s="3" t="s">
        <v>570</v>
      </c>
      <c r="C1084" s="3">
        <v>16</v>
      </c>
      <c r="D1084" s="3">
        <v>16</v>
      </c>
      <c r="E1084" s="8">
        <v>-2.045455</v>
      </c>
      <c r="F1084" s="8">
        <v>-2.045</v>
      </c>
      <c r="G1084" s="11">
        <v>1625.35480267</v>
      </c>
      <c r="H1084" s="11">
        <v>1625.42</v>
      </c>
      <c r="I1084" s="11">
        <f>H1084-G1084</f>
        <v>0.06519733000004635</v>
      </c>
    </row>
    <row r="1085" spans="1:9">
      <c r="A1085" s="3" t="s">
        <v>170</v>
      </c>
      <c r="B1085" s="3" t="s">
        <v>571</v>
      </c>
      <c r="C1085" s="3">
        <v>16</v>
      </c>
      <c r="D1085" s="3">
        <v>16</v>
      </c>
      <c r="E1085" s="8">
        <v>-2.045455</v>
      </c>
      <c r="F1085" s="8">
        <v>-2.045</v>
      </c>
      <c r="G1085" s="11">
        <v>2179.3107179</v>
      </c>
      <c r="H1085" s="11">
        <v>2179.37</v>
      </c>
      <c r="I1085" s="11">
        <f>H1085-G1085</f>
        <v>0.059282100000018545</v>
      </c>
    </row>
    <row r="1086" spans="1:9">
      <c r="A1086" s="3" t="s">
        <v>170</v>
      </c>
      <c r="B1086" s="3" t="s">
        <v>572</v>
      </c>
      <c r="C1086" s="3">
        <v>15</v>
      </c>
      <c r="D1086" s="3">
        <v>15</v>
      </c>
      <c r="E1086" s="8">
        <v>-2.045455</v>
      </c>
      <c r="F1086" s="8">
        <v>-2.045</v>
      </c>
      <c r="G1086" s="11">
        <v>2263.04564506</v>
      </c>
      <c r="H1086" s="11">
        <v>2263.14</v>
      </c>
      <c r="I1086" s="11">
        <f>H1086-G1086</f>
        <v>0.09435493999990285</v>
      </c>
    </row>
    <row r="1087" spans="1:9">
      <c r="A1087" s="3" t="s">
        <v>170</v>
      </c>
      <c r="B1087" s="3" t="s">
        <v>573</v>
      </c>
      <c r="C1087" s="3">
        <v>14</v>
      </c>
      <c r="D1087" s="3">
        <v>14</v>
      </c>
      <c r="E1087" s="8">
        <v>-1.918806</v>
      </c>
      <c r="F1087" s="8">
        <v>-1.919</v>
      </c>
      <c r="G1087" s="11">
        <v>994.28663624</v>
      </c>
      <c r="H1087" s="11">
        <v>994.3000000000001</v>
      </c>
      <c r="I1087" s="11">
        <f>H1087-G1087</f>
        <v>0.01336376000006112</v>
      </c>
    </row>
    <row r="1088" spans="1:9">
      <c r="A1088" s="3" t="s">
        <v>170</v>
      </c>
      <c r="B1088" s="3" t="s">
        <v>574</v>
      </c>
      <c r="C1088" s="3">
        <v>15</v>
      </c>
      <c r="D1088" s="3">
        <v>15</v>
      </c>
      <c r="E1088" s="8">
        <v>-2.045455</v>
      </c>
      <c r="F1088" s="8">
        <v>-2.045</v>
      </c>
      <c r="G1088" s="11">
        <v>638.45107919</v>
      </c>
      <c r="H1088" s="11">
        <v>638.41</v>
      </c>
      <c r="I1088" s="11">
        <f>H1088-G1088</f>
        <v>-0.04107919000000493</v>
      </c>
    </row>
    <row r="1089" spans="1:9">
      <c r="A1089" s="3" t="s">
        <v>170</v>
      </c>
      <c r="B1089" s="3" t="s">
        <v>575</v>
      </c>
      <c r="C1089" s="3">
        <v>15</v>
      </c>
      <c r="D1089" s="3">
        <v>15</v>
      </c>
      <c r="E1089" s="8">
        <v>-2.045455</v>
      </c>
      <c r="F1089" s="8">
        <v>-2.045</v>
      </c>
      <c r="G1089" s="11">
        <v>2085.51451678</v>
      </c>
      <c r="H1089" s="11">
        <v>2085.48</v>
      </c>
      <c r="I1089" s="11">
        <f>H1089-G1089</f>
        <v>-0.03451677999964886</v>
      </c>
    </row>
    <row r="1090" spans="1:9">
      <c r="A1090" s="3" t="s">
        <v>170</v>
      </c>
      <c r="B1090" s="3" t="s">
        <v>576</v>
      </c>
      <c r="C1090" s="3">
        <v>15</v>
      </c>
      <c r="D1090" s="3">
        <v>15</v>
      </c>
      <c r="E1090" s="8">
        <v>-2.045453999999999</v>
      </c>
      <c r="F1090" s="8">
        <v>-2.046</v>
      </c>
      <c r="G1090" s="11">
        <v>3866.76789922</v>
      </c>
      <c r="H1090" s="11">
        <v>3866.64</v>
      </c>
      <c r="I1090" s="11">
        <f>H1090-G1090</f>
        <v>-0.12789921999956277</v>
      </c>
    </row>
    <row r="1091" spans="1:9">
      <c r="A1091" s="3" t="s">
        <v>170</v>
      </c>
      <c r="B1091" s="3" t="s">
        <v>577</v>
      </c>
      <c r="C1091" s="3">
        <v>16</v>
      </c>
      <c r="D1091" s="3">
        <v>16</v>
      </c>
      <c r="E1091" s="8">
        <v>-2.045455</v>
      </c>
      <c r="F1091" s="8">
        <v>-2.045</v>
      </c>
      <c r="G1091" s="11">
        <v>3041.94791599</v>
      </c>
      <c r="H1091" s="11">
        <v>3042.01</v>
      </c>
      <c r="I1091" s="11">
        <f>H1091-G1091</f>
        <v>0.06208401000003505</v>
      </c>
    </row>
    <row r="1092" spans="1:9">
      <c r="A1092" s="3" t="s">
        <v>170</v>
      </c>
      <c r="B1092" s="3" t="s">
        <v>578</v>
      </c>
      <c r="C1092" s="3">
        <v>16</v>
      </c>
      <c r="D1092" s="3">
        <v>16</v>
      </c>
      <c r="E1092" s="8">
        <v>-2.045455</v>
      </c>
      <c r="F1092" s="8">
        <v>-2.045</v>
      </c>
      <c r="G1092" s="11">
        <v>2091.08030798</v>
      </c>
      <c r="H1092" s="11">
        <v>2091.14</v>
      </c>
      <c r="I1092" s="11">
        <f>H1092-G1092</f>
        <v>0.05969201999960205</v>
      </c>
    </row>
    <row r="1093" spans="1:9">
      <c r="A1093" s="3" t="s">
        <v>170</v>
      </c>
      <c r="B1093" s="3" t="s">
        <v>579</v>
      </c>
      <c r="C1093" s="3">
        <v>15</v>
      </c>
      <c r="D1093" s="3">
        <v>15</v>
      </c>
      <c r="E1093" s="8">
        <v>-2.045455</v>
      </c>
      <c r="F1093" s="8">
        <v>-2.045</v>
      </c>
      <c r="G1093" s="11">
        <v>2616.54883581</v>
      </c>
      <c r="H1093" s="11">
        <v>2616.65</v>
      </c>
      <c r="I1093" s="11">
        <f>H1093-G1093</f>
        <v>0.10116418999996313</v>
      </c>
    </row>
    <row r="1094" spans="1:9">
      <c r="A1094" s="3" t="s">
        <v>170</v>
      </c>
      <c r="B1094" s="3" t="s">
        <v>580</v>
      </c>
      <c r="C1094" s="3">
        <v>14</v>
      </c>
      <c r="D1094" s="3">
        <v>14</v>
      </c>
      <c r="E1094" s="8">
        <v>-1.918806</v>
      </c>
      <c r="F1094" s="8">
        <v>-1.919</v>
      </c>
      <c r="G1094" s="11">
        <v>2161.85521292</v>
      </c>
      <c r="H1094" s="11">
        <v>2161.81</v>
      </c>
      <c r="I1094" s="11">
        <f>H1094-G1094</f>
        <v>-0.04521292000026733</v>
      </c>
    </row>
    <row r="1095" spans="1:9">
      <c r="A1095" s="3" t="s">
        <v>170</v>
      </c>
      <c r="B1095" s="3" t="s">
        <v>581</v>
      </c>
      <c r="C1095" s="3">
        <v>11</v>
      </c>
      <c r="D1095" s="3">
        <v>11</v>
      </c>
      <c r="E1095" s="8">
        <v>-1.579204</v>
      </c>
      <c r="F1095" s="8">
        <v>-1.58</v>
      </c>
      <c r="G1095" s="11">
        <v>1881.9698588</v>
      </c>
      <c r="H1095" s="11">
        <v>1881.8</v>
      </c>
      <c r="I1095" s="11">
        <f>H1095-G1095</f>
        <v>-0.16985879999992903</v>
      </c>
    </row>
    <row r="1096" spans="1:9">
      <c r="A1096" s="3" t="s">
        <v>170</v>
      </c>
      <c r="B1096" s="3" t="s">
        <v>582</v>
      </c>
      <c r="C1096" s="3">
        <v>15</v>
      </c>
      <c r="D1096" s="3">
        <v>15</v>
      </c>
      <c r="E1096" s="8">
        <v>-2.045453999999999</v>
      </c>
      <c r="F1096" s="8">
        <v>-2.046</v>
      </c>
      <c r="G1096" s="11">
        <v>2213.38406442</v>
      </c>
      <c r="H1096" s="11">
        <v>2213.31</v>
      </c>
      <c r="I1096" s="11">
        <f>H1096-G1096</f>
        <v>-0.07406442000001334</v>
      </c>
    </row>
    <row r="1097" spans="1:9">
      <c r="A1097" s="3" t="s">
        <v>170</v>
      </c>
      <c r="B1097" s="3" t="s">
        <v>583</v>
      </c>
      <c r="C1097" s="3">
        <v>16</v>
      </c>
      <c r="D1097" s="3">
        <v>16</v>
      </c>
      <c r="E1097" s="8">
        <v>-2.045455</v>
      </c>
      <c r="F1097" s="8">
        <v>2.045</v>
      </c>
      <c r="G1097" s="11">
        <v>1897.74491892</v>
      </c>
      <c r="H1097" s="11">
        <v>-1897.83</v>
      </c>
      <c r="I1097" s="11">
        <f>H1097-G1097</f>
        <v>-3795.57491892</v>
      </c>
    </row>
    <row r="1098" spans="1:9">
      <c r="A1098" s="3" t="s">
        <v>170</v>
      </c>
      <c r="B1098" s="3" t="s">
        <v>156</v>
      </c>
      <c r="C1098" s="3">
        <v>15</v>
      </c>
      <c r="D1098" s="3">
        <v>15</v>
      </c>
      <c r="E1098" s="8">
        <v>-2.045455</v>
      </c>
      <c r="F1098" s="8">
        <v>-2.045</v>
      </c>
      <c r="G1098" s="11">
        <v>2249.57496352</v>
      </c>
      <c r="H1098" s="11">
        <v>2249.6</v>
      </c>
      <c r="I1098" s="11">
        <f>H1098-G1098</f>
        <v>0.025036479999926087</v>
      </c>
    </row>
    <row r="1099" spans="1:9">
      <c r="A1099" s="10" t="s">
        <v>174</v>
      </c>
      <c r="G1099" s="10">
        <f>SUM(G4:G1098)</f>
        <v>0</v>
      </c>
      <c r="H1099" s="10">
        <f>SUM(H4:H1098)</f>
        <v>0</v>
      </c>
      <c r="I1099" s="10">
        <f>SUM(I4:I1098)</f>
        <v>0</v>
      </c>
    </row>
  </sheetData>
  <autoFilter ref="A3:I109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1.7109375" customWidth="1"/>
    <col min="2" max="8" width="13.7109375" customWidth="1"/>
    <col min="9" max="12" width="26.7109375" customWidth="1"/>
  </cols>
  <sheetData>
    <row r="1" spans="1:14">
      <c r="A1" s="1" t="s">
        <v>585</v>
      </c>
    </row>
    <row r="3" spans="1:14">
      <c r="A3" s="2" t="s">
        <v>586</v>
      </c>
      <c r="B3" s="2" t="s">
        <v>587</v>
      </c>
      <c r="C3" s="2" t="s">
        <v>159</v>
      </c>
      <c r="D3" s="2" t="s">
        <v>210</v>
      </c>
      <c r="E3" s="2" t="s">
        <v>588</v>
      </c>
      <c r="F3" s="2" t="s">
        <v>589</v>
      </c>
      <c r="G3" s="2" t="s">
        <v>590</v>
      </c>
      <c r="H3" s="2" t="s">
        <v>591</v>
      </c>
      <c r="I3" s="2" t="s">
        <v>592</v>
      </c>
      <c r="J3" s="2" t="s">
        <v>593</v>
      </c>
      <c r="K3" s="2" t="s">
        <v>594</v>
      </c>
      <c r="L3" s="2" t="s">
        <v>595</v>
      </c>
      <c r="M3" s="2" t="s">
        <v>596</v>
      </c>
      <c r="N3" s="2" t="s">
        <v>597</v>
      </c>
    </row>
    <row r="4" spans="1:14">
      <c r="A4" s="3" t="s">
        <v>598</v>
      </c>
      <c r="B4" s="3" t="s">
        <v>599</v>
      </c>
      <c r="C4" s="3" t="s">
        <v>168</v>
      </c>
      <c r="D4" s="3" t="s">
        <v>438</v>
      </c>
      <c r="E4" s="3" t="s">
        <v>600</v>
      </c>
      <c r="F4" s="3">
        <v>8</v>
      </c>
      <c r="G4" s="8">
        <v>84</v>
      </c>
      <c r="H4" s="9">
        <v>8553.09</v>
      </c>
      <c r="I4" s="3" t="s">
        <v>601</v>
      </c>
      <c r="J4" s="3" t="s">
        <v>602</v>
      </c>
      <c r="K4" s="3" t="s">
        <v>603</v>
      </c>
      <c r="L4" s="3" t="s">
        <v>604</v>
      </c>
      <c r="M4" s="3">
        <v>146</v>
      </c>
      <c r="N4" s="13" t="s">
        <v>605</v>
      </c>
    </row>
    <row r="5" spans="1:14">
      <c r="A5" s="3" t="s">
        <v>606</v>
      </c>
      <c r="B5" s="3" t="s">
        <v>599</v>
      </c>
      <c r="C5" s="3" t="s">
        <v>168</v>
      </c>
      <c r="D5" s="3" t="s">
        <v>328</v>
      </c>
      <c r="E5" s="3" t="s">
        <v>600</v>
      </c>
      <c r="F5" s="3">
        <v>8</v>
      </c>
      <c r="G5" s="8">
        <v>-44.526835</v>
      </c>
      <c r="H5" s="9">
        <v>-6884.4383135</v>
      </c>
      <c r="I5" s="3" t="s">
        <v>601</v>
      </c>
      <c r="J5" s="3" t="s">
        <v>602</v>
      </c>
      <c r="K5" s="3" t="s">
        <v>603</v>
      </c>
      <c r="L5" s="3" t="s">
        <v>604</v>
      </c>
      <c r="M5" s="3">
        <v>255</v>
      </c>
      <c r="N5" s="13" t="s">
        <v>605</v>
      </c>
    </row>
    <row r="6" spans="1:14">
      <c r="A6" s="3" t="s">
        <v>607</v>
      </c>
      <c r="B6" s="3" t="s">
        <v>599</v>
      </c>
      <c r="C6" s="3" t="s">
        <v>169</v>
      </c>
      <c r="D6" s="3" t="s">
        <v>250</v>
      </c>
      <c r="E6" s="3" t="s">
        <v>608</v>
      </c>
      <c r="F6" s="3">
        <v>28</v>
      </c>
      <c r="G6" s="8">
        <v>29.454728</v>
      </c>
      <c r="H6" s="9">
        <v>-6110.260407519999</v>
      </c>
      <c r="I6" s="3" t="s">
        <v>601</v>
      </c>
      <c r="J6" s="3" t="s">
        <v>609</v>
      </c>
      <c r="K6" s="3" t="s">
        <v>610</v>
      </c>
      <c r="L6" s="3" t="s">
        <v>611</v>
      </c>
      <c r="M6" s="3">
        <v>333</v>
      </c>
      <c r="N6" s="13" t="s">
        <v>605</v>
      </c>
    </row>
    <row r="7" spans="1:14">
      <c r="A7" s="3" t="s">
        <v>612</v>
      </c>
      <c r="B7" s="3" t="s">
        <v>599</v>
      </c>
      <c r="C7" s="3" t="s">
        <v>170</v>
      </c>
      <c r="D7" s="3" t="s">
        <v>583</v>
      </c>
      <c r="E7" s="3" t="s">
        <v>613</v>
      </c>
      <c r="F7" s="3">
        <v>16</v>
      </c>
      <c r="G7" s="8">
        <v>4.090455</v>
      </c>
      <c r="H7" s="9">
        <v>-3795.574918920001</v>
      </c>
      <c r="I7" s="3" t="s">
        <v>601</v>
      </c>
      <c r="J7" s="3" t="s">
        <v>602</v>
      </c>
      <c r="K7" s="3" t="s">
        <v>614</v>
      </c>
      <c r="L7" s="3" t="s">
        <v>615</v>
      </c>
      <c r="M7" s="3">
        <v>1</v>
      </c>
      <c r="N7" s="13" t="s">
        <v>605</v>
      </c>
    </row>
    <row r="8" spans="1:14">
      <c r="A8" s="3" t="s">
        <v>616</v>
      </c>
      <c r="B8" s="3" t="s">
        <v>599</v>
      </c>
      <c r="C8" s="3" t="s">
        <v>169</v>
      </c>
      <c r="D8" s="3" t="s">
        <v>348</v>
      </c>
      <c r="E8" s="3" t="s">
        <v>608</v>
      </c>
      <c r="F8" s="3">
        <v>28</v>
      </c>
      <c r="G8" s="8">
        <v>29.454728</v>
      </c>
      <c r="H8" s="9">
        <v>-2706.79475224</v>
      </c>
      <c r="I8" s="3" t="s">
        <v>601</v>
      </c>
      <c r="J8" s="3" t="s">
        <v>609</v>
      </c>
      <c r="K8" s="3" t="s">
        <v>610</v>
      </c>
      <c r="L8" s="3" t="s">
        <v>611</v>
      </c>
      <c r="M8" s="3">
        <v>235</v>
      </c>
      <c r="N8" s="13" t="s">
        <v>605</v>
      </c>
    </row>
    <row r="9" spans="1:14">
      <c r="A9" s="3" t="s">
        <v>617</v>
      </c>
      <c r="B9" s="3" t="s">
        <v>599</v>
      </c>
      <c r="C9" s="3" t="s">
        <v>169</v>
      </c>
      <c r="D9" s="3" t="s">
        <v>286</v>
      </c>
      <c r="E9" s="3" t="s">
        <v>618</v>
      </c>
      <c r="F9" s="3">
        <v>6</v>
      </c>
      <c r="G9" s="8">
        <v>-19.584</v>
      </c>
      <c r="H9" s="9">
        <v>-1293.49</v>
      </c>
      <c r="I9" s="3" t="s">
        <v>619</v>
      </c>
      <c r="J9" s="3" t="s">
        <v>609</v>
      </c>
      <c r="K9" s="3" t="s">
        <v>620</v>
      </c>
      <c r="L9" s="3" t="s">
        <v>621</v>
      </c>
      <c r="M9" s="3">
        <v>297</v>
      </c>
      <c r="N9" s="13" t="s">
        <v>605</v>
      </c>
    </row>
    <row r="10" spans="1:14">
      <c r="A10" s="3" t="s">
        <v>622</v>
      </c>
      <c r="B10" s="3" t="s">
        <v>599</v>
      </c>
      <c r="C10" s="3" t="s">
        <v>168</v>
      </c>
      <c r="D10" s="3" t="s">
        <v>355</v>
      </c>
      <c r="E10" s="3" t="s">
        <v>623</v>
      </c>
      <c r="F10" s="3">
        <v>12</v>
      </c>
      <c r="G10" s="8">
        <v>-26.544</v>
      </c>
      <c r="H10" s="9">
        <v>-704.4699999999998</v>
      </c>
      <c r="I10" s="3" t="s">
        <v>619</v>
      </c>
      <c r="J10" s="3" t="s">
        <v>602</v>
      </c>
      <c r="K10" s="3" t="s">
        <v>624</v>
      </c>
      <c r="L10" s="3" t="s">
        <v>625</v>
      </c>
      <c r="M10" s="3">
        <v>228</v>
      </c>
      <c r="N10" s="13" t="s">
        <v>605</v>
      </c>
    </row>
    <row r="11" spans="1:14">
      <c r="A11" s="3" t="s">
        <v>626</v>
      </c>
      <c r="B11" s="3" t="s">
        <v>599</v>
      </c>
      <c r="C11" s="3" t="s">
        <v>168</v>
      </c>
      <c r="D11" s="3" t="s">
        <v>445</v>
      </c>
      <c r="E11" s="3" t="s">
        <v>600</v>
      </c>
      <c r="F11" s="3">
        <v>8</v>
      </c>
      <c r="G11" s="8">
        <v>84</v>
      </c>
      <c r="H11" s="9">
        <v>503.37</v>
      </c>
      <c r="I11" s="3" t="s">
        <v>619</v>
      </c>
      <c r="J11" s="3" t="s">
        <v>602</v>
      </c>
      <c r="K11" s="3" t="s">
        <v>603</v>
      </c>
      <c r="L11" s="3" t="s">
        <v>604</v>
      </c>
      <c r="M11" s="3">
        <v>139</v>
      </c>
      <c r="N11" s="13" t="s">
        <v>605</v>
      </c>
    </row>
    <row r="12" spans="1:14">
      <c r="A12" s="3" t="s">
        <v>627</v>
      </c>
      <c r="B12" s="3" t="s">
        <v>599</v>
      </c>
      <c r="C12" s="3" t="s">
        <v>170</v>
      </c>
      <c r="D12" s="3" t="s">
        <v>441</v>
      </c>
      <c r="E12" s="3" t="s">
        <v>628</v>
      </c>
      <c r="F12" s="3">
        <v>8</v>
      </c>
      <c r="G12" s="8">
        <v>1.224168</v>
      </c>
      <c r="H12" s="9">
        <v>-421.4238524799999</v>
      </c>
      <c r="I12" s="3" t="s">
        <v>619</v>
      </c>
      <c r="J12" s="3" t="s">
        <v>629</v>
      </c>
      <c r="K12" s="3" t="s">
        <v>630</v>
      </c>
      <c r="L12" s="3" t="s">
        <v>631</v>
      </c>
      <c r="M12" s="3">
        <v>143</v>
      </c>
      <c r="N12" s="13" t="s">
        <v>605</v>
      </c>
    </row>
    <row r="13" spans="1:14">
      <c r="A13" s="3" t="s">
        <v>632</v>
      </c>
      <c r="B13" s="3" t="s">
        <v>599</v>
      </c>
      <c r="C13" s="3" t="s">
        <v>170</v>
      </c>
      <c r="D13" s="3" t="s">
        <v>274</v>
      </c>
      <c r="E13" s="3" t="s">
        <v>628</v>
      </c>
      <c r="F13" s="3">
        <v>8</v>
      </c>
      <c r="G13" s="8">
        <v>0.08516799999999969</v>
      </c>
      <c r="H13" s="9">
        <v>-373.36286336</v>
      </c>
      <c r="I13" s="3" t="s">
        <v>619</v>
      </c>
      <c r="J13" s="3" t="s">
        <v>629</v>
      </c>
      <c r="K13" s="3" t="s">
        <v>630</v>
      </c>
      <c r="L13" s="3" t="s">
        <v>631</v>
      </c>
      <c r="M13" s="3">
        <v>309</v>
      </c>
      <c r="N13" s="13" t="s">
        <v>605</v>
      </c>
    </row>
    <row r="14" spans="1:14">
      <c r="A14" s="3" t="s">
        <v>633</v>
      </c>
      <c r="B14" s="3" t="s">
        <v>599</v>
      </c>
      <c r="C14" s="3" t="s">
        <v>169</v>
      </c>
      <c r="D14" s="3" t="s">
        <v>517</v>
      </c>
      <c r="E14" s="3" t="s">
        <v>634</v>
      </c>
      <c r="F14" s="3">
        <v>18</v>
      </c>
      <c r="G14" s="8">
        <v>0.0001800000000011792</v>
      </c>
      <c r="H14" s="9">
        <v>-345.4619227599995</v>
      </c>
      <c r="I14" s="3" t="s">
        <v>619</v>
      </c>
      <c r="J14" s="3" t="s">
        <v>635</v>
      </c>
      <c r="K14" s="3" t="s">
        <v>636</v>
      </c>
      <c r="L14" s="3" t="s">
        <v>637</v>
      </c>
      <c r="M14" s="3">
        <v>67</v>
      </c>
      <c r="N14" s="13" t="s">
        <v>605</v>
      </c>
    </row>
    <row r="15" spans="1:14">
      <c r="A15" s="3" t="s">
        <v>638</v>
      </c>
      <c r="B15" s="3" t="s">
        <v>599</v>
      </c>
      <c r="C15" s="3" t="s">
        <v>170</v>
      </c>
      <c r="D15" s="3" t="s">
        <v>559</v>
      </c>
      <c r="E15" s="3" t="s">
        <v>628</v>
      </c>
      <c r="F15" s="3">
        <v>8</v>
      </c>
      <c r="G15" s="8">
        <v>-1.480581</v>
      </c>
      <c r="H15" s="9">
        <v>-307.9239396400001</v>
      </c>
      <c r="I15" s="3" t="s">
        <v>619</v>
      </c>
      <c r="J15" s="3" t="s">
        <v>629</v>
      </c>
      <c r="K15" s="3" t="s">
        <v>630</v>
      </c>
      <c r="L15" s="3" t="s">
        <v>631</v>
      </c>
      <c r="M15" s="3">
        <v>25</v>
      </c>
      <c r="N15" s="13" t="s">
        <v>605</v>
      </c>
    </row>
    <row r="16" spans="1:14">
      <c r="A16" s="3" t="s">
        <v>639</v>
      </c>
      <c r="B16" s="3" t="s">
        <v>599</v>
      </c>
      <c r="C16" s="3" t="s">
        <v>168</v>
      </c>
      <c r="D16" s="3" t="s">
        <v>640</v>
      </c>
      <c r="E16" s="3" t="s">
        <v>641</v>
      </c>
      <c r="F16" s="3">
        <v>112</v>
      </c>
      <c r="G16" s="8">
        <v>-0.002791999999995021</v>
      </c>
      <c r="H16" s="9">
        <v>-2.807720369998828</v>
      </c>
      <c r="I16" s="3" t="s">
        <v>642</v>
      </c>
      <c r="J16" s="3" t="s">
        <v>602</v>
      </c>
      <c r="K16" s="3" t="s">
        <v>643</v>
      </c>
      <c r="L16" s="3" t="s">
        <v>644</v>
      </c>
      <c r="M16" s="3">
        <v>121</v>
      </c>
      <c r="N16" s="13" t="s">
        <v>605</v>
      </c>
    </row>
    <row r="17" spans="1:14">
      <c r="A17" s="3" t="s">
        <v>645</v>
      </c>
      <c r="B17" s="3" t="s">
        <v>599</v>
      </c>
      <c r="C17" s="3" t="s">
        <v>168</v>
      </c>
      <c r="D17" s="3" t="s">
        <v>646</v>
      </c>
      <c r="E17" s="3" t="s">
        <v>641</v>
      </c>
      <c r="F17" s="3">
        <v>117</v>
      </c>
      <c r="G17" s="8">
        <v>0.0004430000000081868</v>
      </c>
      <c r="H17" s="9">
        <v>-2.560063169998744</v>
      </c>
      <c r="I17" s="3" t="s">
        <v>642</v>
      </c>
      <c r="J17" s="3" t="s">
        <v>602</v>
      </c>
      <c r="K17" s="3" t="s">
        <v>643</v>
      </c>
      <c r="L17" s="3" t="s">
        <v>644</v>
      </c>
      <c r="M17" s="3">
        <v>29</v>
      </c>
      <c r="N17" s="13" t="s">
        <v>605</v>
      </c>
    </row>
    <row r="18" spans="1:14">
      <c r="A18" s="3" t="s">
        <v>647</v>
      </c>
      <c r="B18" s="3" t="s">
        <v>599</v>
      </c>
      <c r="C18" s="3" t="s">
        <v>168</v>
      </c>
      <c r="D18" s="3" t="s">
        <v>648</v>
      </c>
      <c r="E18" s="3" t="s">
        <v>641</v>
      </c>
      <c r="F18" s="3">
        <v>100</v>
      </c>
      <c r="G18" s="8">
        <v>-0.0006139999999952295</v>
      </c>
      <c r="H18" s="9">
        <v>-1.967458840001327</v>
      </c>
      <c r="I18" s="3" t="s">
        <v>642</v>
      </c>
      <c r="J18" s="3" t="s">
        <v>602</v>
      </c>
      <c r="K18" s="3" t="s">
        <v>643</v>
      </c>
      <c r="L18" s="3" t="s">
        <v>644</v>
      </c>
      <c r="M18" s="3">
        <v>91</v>
      </c>
      <c r="N18" s="13" t="s">
        <v>605</v>
      </c>
    </row>
    <row r="19" spans="1:14">
      <c r="A19" s="3" t="s">
        <v>649</v>
      </c>
      <c r="B19" s="3" t="s">
        <v>599</v>
      </c>
      <c r="C19" s="3" t="s">
        <v>168</v>
      </c>
      <c r="D19" s="3" t="s">
        <v>650</v>
      </c>
      <c r="E19" s="3" t="s">
        <v>641</v>
      </c>
      <c r="F19" s="3">
        <v>124</v>
      </c>
      <c r="G19" s="8">
        <v>0.002736000000010286</v>
      </c>
      <c r="H19" s="9">
        <v>-1.677725799999313</v>
      </c>
      <c r="I19" s="3" t="s">
        <v>642</v>
      </c>
      <c r="J19" s="3" t="s">
        <v>602</v>
      </c>
      <c r="K19" s="3" t="s">
        <v>643</v>
      </c>
      <c r="L19" s="3" t="s">
        <v>644</v>
      </c>
      <c r="M19" s="3">
        <v>212</v>
      </c>
      <c r="N19" s="13" t="s">
        <v>605</v>
      </c>
    </row>
    <row r="20" spans="1:14">
      <c r="A20" s="3" t="s">
        <v>651</v>
      </c>
      <c r="B20" s="3" t="s">
        <v>599</v>
      </c>
      <c r="C20" s="3" t="s">
        <v>168</v>
      </c>
      <c r="D20" s="3" t="s">
        <v>652</v>
      </c>
      <c r="E20" s="3" t="s">
        <v>641</v>
      </c>
      <c r="F20" s="3">
        <v>98</v>
      </c>
      <c r="G20" s="8">
        <v>-0.004684999999997164</v>
      </c>
      <c r="H20" s="9">
        <v>-1.53595309000136</v>
      </c>
      <c r="I20" s="3" t="s">
        <v>642</v>
      </c>
      <c r="J20" s="3" t="s">
        <v>602</v>
      </c>
      <c r="K20" s="3" t="s">
        <v>643</v>
      </c>
      <c r="L20" s="3" t="s">
        <v>644</v>
      </c>
      <c r="M20" s="3">
        <v>271</v>
      </c>
      <c r="N20" s="13" t="s">
        <v>605</v>
      </c>
    </row>
    <row r="21" spans="1:14">
      <c r="A21" s="3" t="s">
        <v>653</v>
      </c>
      <c r="B21" s="3" t="s">
        <v>599</v>
      </c>
      <c r="C21" s="3" t="s">
        <v>168</v>
      </c>
      <c r="D21" s="3" t="s">
        <v>654</v>
      </c>
      <c r="E21" s="3" t="s">
        <v>641</v>
      </c>
      <c r="F21" s="3">
        <v>100</v>
      </c>
      <c r="G21" s="8">
        <v>-0.007843999999997964</v>
      </c>
      <c r="H21" s="9">
        <v>-1.501345600001095</v>
      </c>
      <c r="I21" s="3" t="s">
        <v>642</v>
      </c>
      <c r="J21" s="3" t="s">
        <v>602</v>
      </c>
      <c r="K21" s="3" t="s">
        <v>643</v>
      </c>
      <c r="L21" s="3" t="s">
        <v>644</v>
      </c>
      <c r="M21" s="3">
        <v>302</v>
      </c>
      <c r="N21" s="13" t="s">
        <v>605</v>
      </c>
    </row>
    <row r="22" spans="1:14">
      <c r="A22" s="3" t="s">
        <v>655</v>
      </c>
      <c r="B22" s="3" t="s">
        <v>599</v>
      </c>
      <c r="C22" s="3" t="s">
        <v>168</v>
      </c>
      <c r="D22" s="3" t="s">
        <v>656</v>
      </c>
      <c r="E22" s="3" t="s">
        <v>641</v>
      </c>
      <c r="F22" s="3">
        <v>105</v>
      </c>
      <c r="G22" s="8">
        <v>0.004051000000002691</v>
      </c>
      <c r="H22" s="9">
        <v>-1.067249740000598</v>
      </c>
      <c r="I22" s="3" t="s">
        <v>642</v>
      </c>
      <c r="J22" s="3" t="s">
        <v>602</v>
      </c>
      <c r="K22" s="3" t="s">
        <v>643</v>
      </c>
      <c r="L22" s="3" t="s">
        <v>644</v>
      </c>
      <c r="M22" s="3">
        <v>60</v>
      </c>
      <c r="N22" s="13" t="s">
        <v>605</v>
      </c>
    </row>
    <row r="23" spans="1:14">
      <c r="A23" s="3" t="s">
        <v>657</v>
      </c>
      <c r="B23" s="3" t="s">
        <v>599</v>
      </c>
      <c r="C23" s="3" t="s">
        <v>168</v>
      </c>
      <c r="D23" s="3" t="s">
        <v>658</v>
      </c>
      <c r="E23" s="3" t="s">
        <v>641</v>
      </c>
      <c r="F23" s="3">
        <v>117</v>
      </c>
      <c r="G23" s="8">
        <v>0.005038000000008536</v>
      </c>
      <c r="H23" s="9">
        <v>-0.8716915699996328</v>
      </c>
      <c r="I23" s="3" t="s">
        <v>642</v>
      </c>
      <c r="J23" s="3" t="s">
        <v>602</v>
      </c>
      <c r="K23" s="3" t="s">
        <v>643</v>
      </c>
      <c r="L23" s="3" t="s">
        <v>644</v>
      </c>
      <c r="M23" s="3">
        <v>182</v>
      </c>
      <c r="N23" s="13" t="s">
        <v>605</v>
      </c>
    </row>
    <row r="24" spans="1:14">
      <c r="A24" s="3" t="s">
        <v>659</v>
      </c>
      <c r="B24" s="3" t="s">
        <v>599</v>
      </c>
      <c r="C24" s="3" t="s">
        <v>168</v>
      </c>
      <c r="D24" s="3" t="s">
        <v>660</v>
      </c>
      <c r="E24" s="3" t="s">
        <v>641</v>
      </c>
      <c r="F24" s="3">
        <v>119</v>
      </c>
      <c r="G24" s="8">
        <v>0.001720000000001276</v>
      </c>
      <c r="H24" s="9">
        <v>-0.7062608500004792</v>
      </c>
      <c r="I24" s="3" t="s">
        <v>642</v>
      </c>
      <c r="J24" s="3" t="s">
        <v>602</v>
      </c>
      <c r="K24" s="3" t="s">
        <v>643</v>
      </c>
      <c r="L24" s="3" t="s">
        <v>644</v>
      </c>
      <c r="M24" s="3">
        <v>332</v>
      </c>
      <c r="N24" s="13" t="s">
        <v>605</v>
      </c>
    </row>
    <row r="25" spans="1:14">
      <c r="A25" s="3" t="s">
        <v>661</v>
      </c>
      <c r="B25" s="3" t="s">
        <v>599</v>
      </c>
      <c r="C25" s="3" t="s">
        <v>168</v>
      </c>
      <c r="D25" s="3" t="s">
        <v>662</v>
      </c>
      <c r="E25" s="3" t="s">
        <v>641</v>
      </c>
      <c r="F25" s="3">
        <v>95</v>
      </c>
      <c r="G25" s="8">
        <v>3.000000003194891E-06</v>
      </c>
      <c r="H25" s="9">
        <v>-0.5907478800000256</v>
      </c>
      <c r="I25" s="3" t="s">
        <v>642</v>
      </c>
      <c r="J25" s="3" t="s">
        <v>602</v>
      </c>
      <c r="K25" s="3" t="s">
        <v>643</v>
      </c>
      <c r="L25" s="3" t="s">
        <v>644</v>
      </c>
      <c r="M25" s="3">
        <v>240</v>
      </c>
      <c r="N25" s="13" t="s">
        <v>605</v>
      </c>
    </row>
    <row r="26" spans="1:14">
      <c r="A26" s="3" t="s">
        <v>663</v>
      </c>
      <c r="B26" s="3" t="s">
        <v>599</v>
      </c>
      <c r="C26" s="3" t="s">
        <v>168</v>
      </c>
      <c r="D26" s="3" t="s">
        <v>664</v>
      </c>
      <c r="E26" s="3" t="s">
        <v>641</v>
      </c>
      <c r="F26" s="3">
        <v>113</v>
      </c>
      <c r="G26" s="8">
        <v>0.008625000000004324</v>
      </c>
      <c r="H26" s="9">
        <v>-0.4584289600008944</v>
      </c>
      <c r="I26" s="3" t="s">
        <v>642</v>
      </c>
      <c r="J26" s="3" t="s">
        <v>602</v>
      </c>
      <c r="K26" s="3" t="s">
        <v>643</v>
      </c>
      <c r="L26" s="3" t="s">
        <v>644</v>
      </c>
      <c r="M26" s="3">
        <v>152</v>
      </c>
      <c r="N26" s="13" t="s">
        <v>605</v>
      </c>
    </row>
    <row r="27" spans="1:14">
      <c r="A27" s="3" t="s">
        <v>665</v>
      </c>
      <c r="B27" s="3" t="s">
        <v>599</v>
      </c>
      <c r="C27" s="3" t="s">
        <v>168</v>
      </c>
      <c r="D27" s="3" t="s">
        <v>666</v>
      </c>
      <c r="E27" s="3" t="s">
        <v>641</v>
      </c>
      <c r="F27" s="3">
        <v>127</v>
      </c>
      <c r="G27" s="8">
        <v>0.008852000000005855</v>
      </c>
      <c r="H27" s="9">
        <v>-0.4307273900001907</v>
      </c>
      <c r="I27" s="3" t="s">
        <v>642</v>
      </c>
      <c r="J27" s="3" t="s">
        <v>602</v>
      </c>
      <c r="K27" s="3" t="s">
        <v>643</v>
      </c>
      <c r="L27" s="3" t="s">
        <v>644</v>
      </c>
      <c r="M27" s="3">
        <v>364</v>
      </c>
      <c r="N27" s="13" t="s">
        <v>605</v>
      </c>
    </row>
    <row r="28" spans="1:14">
      <c r="A28" s="3" t="s">
        <v>667</v>
      </c>
      <c r="B28" s="3" t="s">
        <v>668</v>
      </c>
      <c r="C28" s="3" t="s">
        <v>168</v>
      </c>
      <c r="D28" s="3" t="s">
        <v>569</v>
      </c>
      <c r="E28" s="3" t="s">
        <v>669</v>
      </c>
      <c r="F28" s="3">
        <v>17</v>
      </c>
      <c r="G28" s="8">
        <v>-10.745316</v>
      </c>
      <c r="H28" s="9">
        <v>19588.09632123</v>
      </c>
      <c r="I28" s="3" t="s">
        <v>601</v>
      </c>
      <c r="J28" s="3" t="s">
        <v>670</v>
      </c>
      <c r="K28" s="3" t="s">
        <v>671</v>
      </c>
      <c r="L28" s="3" t="s">
        <v>672</v>
      </c>
      <c r="M28" s="3">
        <v>15</v>
      </c>
      <c r="N28" s="13" t="s">
        <v>605</v>
      </c>
    </row>
    <row r="29" spans="1:14">
      <c r="A29" s="3" t="s">
        <v>673</v>
      </c>
      <c r="B29" s="3" t="s">
        <v>668</v>
      </c>
      <c r="C29" s="3" t="s">
        <v>168</v>
      </c>
      <c r="D29" s="3" t="s">
        <v>528</v>
      </c>
      <c r="E29" s="3" t="s">
        <v>669</v>
      </c>
      <c r="F29" s="3">
        <v>7</v>
      </c>
      <c r="G29" s="8">
        <v>68.120508</v>
      </c>
      <c r="H29" s="9">
        <v>12275.5464918</v>
      </c>
      <c r="I29" s="3" t="s">
        <v>601</v>
      </c>
      <c r="J29" s="3" t="s">
        <v>670</v>
      </c>
      <c r="K29" s="3" t="s">
        <v>671</v>
      </c>
      <c r="L29" s="3" t="s">
        <v>672</v>
      </c>
      <c r="M29" s="3">
        <v>56</v>
      </c>
      <c r="N29" s="13" t="s">
        <v>605</v>
      </c>
    </row>
    <row r="30" spans="1:14">
      <c r="A30" s="3" t="s">
        <v>674</v>
      </c>
      <c r="B30" s="3" t="s">
        <v>668</v>
      </c>
      <c r="C30" s="3" t="s">
        <v>168</v>
      </c>
      <c r="D30" s="3" t="s">
        <v>444</v>
      </c>
      <c r="E30" s="3" t="s">
        <v>669</v>
      </c>
      <c r="F30" s="3">
        <v>8</v>
      </c>
      <c r="G30" s="8">
        <v>78.798985</v>
      </c>
      <c r="H30" s="9">
        <v>11990.4707772</v>
      </c>
      <c r="I30" s="3" t="s">
        <v>601</v>
      </c>
      <c r="J30" s="3" t="s">
        <v>670</v>
      </c>
      <c r="K30" s="3" t="s">
        <v>671</v>
      </c>
      <c r="L30" s="3" t="s">
        <v>672</v>
      </c>
      <c r="M30" s="3">
        <v>140</v>
      </c>
      <c r="N30" s="13" t="s">
        <v>605</v>
      </c>
    </row>
    <row r="31" spans="1:14">
      <c r="A31" s="3" t="s">
        <v>675</v>
      </c>
      <c r="B31" s="3" t="s">
        <v>668</v>
      </c>
      <c r="C31" s="3" t="s">
        <v>168</v>
      </c>
      <c r="D31" s="3" t="s">
        <v>372</v>
      </c>
      <c r="E31" s="3" t="s">
        <v>669</v>
      </c>
      <c r="F31" s="3">
        <v>18</v>
      </c>
      <c r="G31" s="8">
        <v>-22.683793</v>
      </c>
      <c r="H31" s="9">
        <v>8135.675816690001</v>
      </c>
      <c r="I31" s="3" t="s">
        <v>601</v>
      </c>
      <c r="J31" s="3" t="s">
        <v>670</v>
      </c>
      <c r="K31" s="3" t="s">
        <v>671</v>
      </c>
      <c r="L31" s="3" t="s">
        <v>672</v>
      </c>
      <c r="M31" s="3">
        <v>211</v>
      </c>
      <c r="N31" s="13" t="s">
        <v>605</v>
      </c>
    </row>
    <row r="32" spans="1:14">
      <c r="A32" s="3" t="s">
        <v>676</v>
      </c>
      <c r="B32" s="3" t="s">
        <v>668</v>
      </c>
      <c r="C32" s="3" t="s">
        <v>168</v>
      </c>
      <c r="D32" s="3" t="s">
        <v>457</v>
      </c>
      <c r="E32" s="3" t="s">
        <v>669</v>
      </c>
      <c r="F32" s="3">
        <v>4</v>
      </c>
      <c r="G32" s="8">
        <v>25.955699</v>
      </c>
      <c r="H32" s="9">
        <v>7632.577219469999</v>
      </c>
      <c r="I32" s="3" t="s">
        <v>601</v>
      </c>
      <c r="J32" s="3" t="s">
        <v>670</v>
      </c>
      <c r="K32" s="3" t="s">
        <v>671</v>
      </c>
      <c r="L32" s="3" t="s">
        <v>672</v>
      </c>
      <c r="M32" s="3">
        <v>127</v>
      </c>
      <c r="N32" s="13" t="s">
        <v>605</v>
      </c>
    </row>
    <row r="33" spans="1:14">
      <c r="A33" s="3" t="s">
        <v>677</v>
      </c>
      <c r="B33" s="3" t="s">
        <v>668</v>
      </c>
      <c r="C33" s="3" t="s">
        <v>169</v>
      </c>
      <c r="D33" s="3" t="s">
        <v>577</v>
      </c>
      <c r="E33" s="3" t="s">
        <v>669</v>
      </c>
      <c r="F33" s="3">
        <v>6</v>
      </c>
      <c r="G33" s="8">
        <v>21.906085</v>
      </c>
      <c r="H33" s="9">
        <v>7516.301939720001</v>
      </c>
      <c r="I33" s="3" t="s">
        <v>601</v>
      </c>
      <c r="J33" s="3" t="s">
        <v>670</v>
      </c>
      <c r="K33" s="3" t="s">
        <v>671</v>
      </c>
      <c r="L33" s="3" t="s">
        <v>672</v>
      </c>
      <c r="M33" s="3">
        <v>7</v>
      </c>
      <c r="N33" s="13" t="s">
        <v>605</v>
      </c>
    </row>
    <row r="34" spans="1:14">
      <c r="A34" s="3" t="s">
        <v>678</v>
      </c>
      <c r="B34" s="3" t="s">
        <v>668</v>
      </c>
      <c r="C34" s="3" t="s">
        <v>168</v>
      </c>
      <c r="D34" s="3" t="s">
        <v>564</v>
      </c>
      <c r="E34" s="3" t="s">
        <v>669</v>
      </c>
      <c r="F34" s="3">
        <v>9</v>
      </c>
      <c r="G34" s="8">
        <v>-89.544301</v>
      </c>
      <c r="H34" s="9">
        <v>-7494.63342299</v>
      </c>
      <c r="I34" s="3" t="s">
        <v>601</v>
      </c>
      <c r="J34" s="3" t="s">
        <v>670</v>
      </c>
      <c r="K34" s="3" t="s">
        <v>671</v>
      </c>
      <c r="L34" s="3" t="s">
        <v>672</v>
      </c>
      <c r="M34" s="3">
        <v>20</v>
      </c>
      <c r="N34" s="13" t="s">
        <v>605</v>
      </c>
    </row>
    <row r="35" spans="1:14">
      <c r="A35" s="3" t="s">
        <v>679</v>
      </c>
      <c r="B35" s="3" t="s">
        <v>668</v>
      </c>
      <c r="C35" s="3" t="s">
        <v>168</v>
      </c>
      <c r="D35" s="3" t="s">
        <v>527</v>
      </c>
      <c r="E35" s="3" t="s">
        <v>669</v>
      </c>
      <c r="F35" s="3">
        <v>9</v>
      </c>
      <c r="G35" s="8">
        <v>-89.544301</v>
      </c>
      <c r="H35" s="9">
        <v>-7344.16321212</v>
      </c>
      <c r="I35" s="3" t="s">
        <v>601</v>
      </c>
      <c r="J35" s="3" t="s">
        <v>670</v>
      </c>
      <c r="K35" s="3" t="s">
        <v>671</v>
      </c>
      <c r="L35" s="3" t="s">
        <v>672</v>
      </c>
      <c r="M35" s="3">
        <v>57</v>
      </c>
      <c r="N35" s="13" t="s">
        <v>605</v>
      </c>
    </row>
    <row r="36" spans="1:14">
      <c r="A36" s="3" t="s">
        <v>680</v>
      </c>
      <c r="B36" s="3" t="s">
        <v>668</v>
      </c>
      <c r="C36" s="3" t="s">
        <v>168</v>
      </c>
      <c r="D36" s="3" t="s">
        <v>582</v>
      </c>
      <c r="E36" s="3" t="s">
        <v>669</v>
      </c>
      <c r="F36" s="3">
        <v>9</v>
      </c>
      <c r="G36" s="8">
        <v>14.482991</v>
      </c>
      <c r="H36" s="9">
        <v>6957.81386785</v>
      </c>
      <c r="I36" s="3" t="s">
        <v>601</v>
      </c>
      <c r="J36" s="3" t="s">
        <v>670</v>
      </c>
      <c r="K36" s="3" t="s">
        <v>671</v>
      </c>
      <c r="L36" s="3" t="s">
        <v>672</v>
      </c>
      <c r="M36" s="3">
        <v>2</v>
      </c>
      <c r="N36" s="13" t="s">
        <v>605</v>
      </c>
    </row>
    <row r="37" spans="1:14">
      <c r="A37" s="3" t="s">
        <v>681</v>
      </c>
      <c r="B37" s="3" t="s">
        <v>668</v>
      </c>
      <c r="C37" s="3" t="s">
        <v>169</v>
      </c>
      <c r="D37" s="3" t="s">
        <v>482</v>
      </c>
      <c r="E37" s="3" t="s">
        <v>669</v>
      </c>
      <c r="F37" s="3">
        <v>13</v>
      </c>
      <c r="G37" s="8">
        <v>-3.168172</v>
      </c>
      <c r="H37" s="9">
        <v>6765.635045159999</v>
      </c>
      <c r="I37" s="3" t="s">
        <v>601</v>
      </c>
      <c r="J37" s="3" t="s">
        <v>670</v>
      </c>
      <c r="K37" s="3" t="s">
        <v>671</v>
      </c>
      <c r="L37" s="3" t="s">
        <v>672</v>
      </c>
      <c r="M37" s="3">
        <v>102</v>
      </c>
      <c r="N37" s="13" t="s">
        <v>605</v>
      </c>
    </row>
    <row r="38" spans="1:14">
      <c r="A38" s="3" t="s">
        <v>682</v>
      </c>
      <c r="B38" s="3" t="s">
        <v>668</v>
      </c>
      <c r="C38" s="3" t="s">
        <v>168</v>
      </c>
      <c r="D38" s="3" t="s">
        <v>536</v>
      </c>
      <c r="E38" s="3" t="s">
        <v>669</v>
      </c>
      <c r="F38" s="3">
        <v>7</v>
      </c>
      <c r="G38" s="8">
        <v>38.002991</v>
      </c>
      <c r="H38" s="9">
        <v>6748.82935149</v>
      </c>
      <c r="I38" s="3" t="s">
        <v>601</v>
      </c>
      <c r="J38" s="3" t="s">
        <v>670</v>
      </c>
      <c r="K38" s="3" t="s">
        <v>671</v>
      </c>
      <c r="L38" s="3" t="s">
        <v>672</v>
      </c>
      <c r="M38" s="3">
        <v>48</v>
      </c>
      <c r="N38" s="13" t="s">
        <v>605</v>
      </c>
    </row>
    <row r="39" spans="1:14">
      <c r="A39" s="3" t="s">
        <v>683</v>
      </c>
      <c r="B39" s="3" t="s">
        <v>668</v>
      </c>
      <c r="C39" s="3" t="s">
        <v>168</v>
      </c>
      <c r="D39" s="3" t="s">
        <v>373</v>
      </c>
      <c r="E39" s="3" t="s">
        <v>669</v>
      </c>
      <c r="F39" s="3">
        <v>20</v>
      </c>
      <c r="G39" s="8">
        <v>-34.32131</v>
      </c>
      <c r="H39" s="9">
        <v>6724.82837545</v>
      </c>
      <c r="I39" s="3" t="s">
        <v>601</v>
      </c>
      <c r="J39" s="3" t="s">
        <v>670</v>
      </c>
      <c r="K39" s="3" t="s">
        <v>671</v>
      </c>
      <c r="L39" s="3" t="s">
        <v>672</v>
      </c>
      <c r="M39" s="3">
        <v>210</v>
      </c>
      <c r="N39" s="13" t="s">
        <v>605</v>
      </c>
    </row>
    <row r="40" spans="1:14">
      <c r="A40" s="3" t="s">
        <v>684</v>
      </c>
      <c r="B40" s="3" t="s">
        <v>668</v>
      </c>
      <c r="C40" s="3" t="s">
        <v>168</v>
      </c>
      <c r="D40" s="3" t="s">
        <v>368</v>
      </c>
      <c r="E40" s="3" t="s">
        <v>669</v>
      </c>
      <c r="F40" s="3">
        <v>11</v>
      </c>
      <c r="G40" s="8">
        <v>34.749423</v>
      </c>
      <c r="H40" s="9">
        <v>6581.99414322</v>
      </c>
      <c r="I40" s="3" t="s">
        <v>601</v>
      </c>
      <c r="J40" s="3" t="s">
        <v>670</v>
      </c>
      <c r="K40" s="3" t="s">
        <v>671</v>
      </c>
      <c r="L40" s="3" t="s">
        <v>672</v>
      </c>
      <c r="M40" s="3">
        <v>215</v>
      </c>
      <c r="N40" s="13" t="s">
        <v>605</v>
      </c>
    </row>
    <row r="41" spans="1:14">
      <c r="A41" s="3" t="s">
        <v>685</v>
      </c>
      <c r="B41" s="3" t="s">
        <v>668</v>
      </c>
      <c r="C41" s="3" t="s">
        <v>168</v>
      </c>
      <c r="D41" s="3" t="s">
        <v>515</v>
      </c>
      <c r="E41" s="3" t="s">
        <v>669</v>
      </c>
      <c r="F41" s="3">
        <v>13</v>
      </c>
      <c r="G41" s="8">
        <v>-50.144809</v>
      </c>
      <c r="H41" s="9">
        <v>6426.15434164</v>
      </c>
      <c r="I41" s="3" t="s">
        <v>601</v>
      </c>
      <c r="J41" s="3" t="s">
        <v>670</v>
      </c>
      <c r="K41" s="3" t="s">
        <v>671</v>
      </c>
      <c r="L41" s="3" t="s">
        <v>672</v>
      </c>
      <c r="M41" s="3">
        <v>69</v>
      </c>
      <c r="N41" s="13" t="s">
        <v>605</v>
      </c>
    </row>
    <row r="42" spans="1:14">
      <c r="A42" s="3" t="s">
        <v>686</v>
      </c>
      <c r="B42" s="3" t="s">
        <v>668</v>
      </c>
      <c r="C42" s="3" t="s">
        <v>168</v>
      </c>
      <c r="D42" s="3" t="s">
        <v>343</v>
      </c>
      <c r="E42" s="3" t="s">
        <v>669</v>
      </c>
      <c r="F42" s="3">
        <v>6</v>
      </c>
      <c r="G42" s="8">
        <v>44.607342</v>
      </c>
      <c r="H42" s="9">
        <v>6242.753174699999</v>
      </c>
      <c r="I42" s="3" t="s">
        <v>601</v>
      </c>
      <c r="J42" s="3" t="s">
        <v>670</v>
      </c>
      <c r="K42" s="3" t="s">
        <v>671</v>
      </c>
      <c r="L42" s="3" t="s">
        <v>672</v>
      </c>
      <c r="M42" s="3">
        <v>240</v>
      </c>
      <c r="N42" s="13" t="s">
        <v>605</v>
      </c>
    </row>
    <row r="43" spans="1:14">
      <c r="A43" s="3" t="s">
        <v>687</v>
      </c>
      <c r="B43" s="3" t="s">
        <v>668</v>
      </c>
      <c r="C43" s="3" t="s">
        <v>168</v>
      </c>
      <c r="D43" s="3" t="s">
        <v>421</v>
      </c>
      <c r="E43" s="3" t="s">
        <v>669</v>
      </c>
      <c r="F43" s="3">
        <v>11</v>
      </c>
      <c r="G43" s="8">
        <v>35.482991</v>
      </c>
      <c r="H43" s="9">
        <v>5478.19600985</v>
      </c>
      <c r="I43" s="3" t="s">
        <v>601</v>
      </c>
      <c r="J43" s="3" t="s">
        <v>670</v>
      </c>
      <c r="K43" s="3" t="s">
        <v>671</v>
      </c>
      <c r="L43" s="3" t="s">
        <v>672</v>
      </c>
      <c r="M43" s="3">
        <v>163</v>
      </c>
      <c r="N43" s="13" t="s">
        <v>605</v>
      </c>
    </row>
    <row r="44" spans="1:14">
      <c r="A44" s="3" t="s">
        <v>688</v>
      </c>
      <c r="B44" s="3" t="s">
        <v>668</v>
      </c>
      <c r="C44" s="3" t="s">
        <v>168</v>
      </c>
      <c r="D44" s="3" t="s">
        <v>502</v>
      </c>
      <c r="E44" s="3" t="s">
        <v>669</v>
      </c>
      <c r="F44" s="3">
        <v>4</v>
      </c>
      <c r="G44" s="8">
        <v>39.399492</v>
      </c>
      <c r="H44" s="9">
        <v>5335.24952592</v>
      </c>
      <c r="I44" s="3" t="s">
        <v>601</v>
      </c>
      <c r="J44" s="3" t="s">
        <v>670</v>
      </c>
      <c r="K44" s="3" t="s">
        <v>671</v>
      </c>
      <c r="L44" s="3" t="s">
        <v>672</v>
      </c>
      <c r="M44" s="3">
        <v>82</v>
      </c>
      <c r="N44" s="13" t="s">
        <v>605</v>
      </c>
    </row>
    <row r="45" spans="1:14">
      <c r="A45" s="3" t="s">
        <v>689</v>
      </c>
      <c r="B45" s="3" t="s">
        <v>668</v>
      </c>
      <c r="C45" s="3" t="s">
        <v>169</v>
      </c>
      <c r="D45" s="3" t="s">
        <v>384</v>
      </c>
      <c r="E45" s="3" t="s">
        <v>669</v>
      </c>
      <c r="F45" s="3">
        <v>12</v>
      </c>
      <c r="G45" s="8">
        <v>-47.374176</v>
      </c>
      <c r="H45" s="9">
        <v>-5169.5651878</v>
      </c>
      <c r="I45" s="3" t="s">
        <v>601</v>
      </c>
      <c r="J45" s="3" t="s">
        <v>670</v>
      </c>
      <c r="K45" s="3" t="s">
        <v>671</v>
      </c>
      <c r="L45" s="3" t="s">
        <v>672</v>
      </c>
      <c r="M45" s="3">
        <v>199</v>
      </c>
      <c r="N45" s="13" t="s">
        <v>605</v>
      </c>
    </row>
    <row r="46" spans="1:14">
      <c r="A46" s="3" t="s">
        <v>690</v>
      </c>
      <c r="B46" s="3" t="s">
        <v>668</v>
      </c>
      <c r="C46" s="3" t="s">
        <v>168</v>
      </c>
      <c r="D46" s="3" t="s">
        <v>438</v>
      </c>
      <c r="E46" s="3" t="s">
        <v>669</v>
      </c>
      <c r="F46" s="3">
        <v>5</v>
      </c>
      <c r="G46" s="8">
        <v>16.61306</v>
      </c>
      <c r="H46" s="9">
        <v>4906.623947399999</v>
      </c>
      <c r="I46" s="3" t="s">
        <v>601</v>
      </c>
      <c r="J46" s="3" t="s">
        <v>670</v>
      </c>
      <c r="K46" s="3" t="s">
        <v>671</v>
      </c>
      <c r="L46" s="3" t="s">
        <v>672</v>
      </c>
      <c r="M46" s="3">
        <v>146</v>
      </c>
      <c r="N46" s="13" t="s">
        <v>605</v>
      </c>
    </row>
    <row r="47" spans="1:14">
      <c r="A47" s="3" t="s">
        <v>691</v>
      </c>
      <c r="B47" s="3" t="s">
        <v>668</v>
      </c>
      <c r="C47" s="3" t="s">
        <v>169</v>
      </c>
      <c r="D47" s="3" t="s">
        <v>344</v>
      </c>
      <c r="E47" s="3" t="s">
        <v>669</v>
      </c>
      <c r="F47" s="3">
        <v>8</v>
      </c>
      <c r="G47" s="8">
        <v>45.027991</v>
      </c>
      <c r="H47" s="9">
        <v>4893.99491922</v>
      </c>
      <c r="I47" s="3" t="s">
        <v>601</v>
      </c>
      <c r="J47" s="3" t="s">
        <v>670</v>
      </c>
      <c r="K47" s="3" t="s">
        <v>671</v>
      </c>
      <c r="L47" s="3" t="s">
        <v>672</v>
      </c>
      <c r="M47" s="3">
        <v>239</v>
      </c>
      <c r="N47" s="13" t="s">
        <v>605</v>
      </c>
    </row>
    <row r="48" spans="1:14">
      <c r="A48" s="3" t="s">
        <v>692</v>
      </c>
      <c r="B48" s="3" t="s">
        <v>668</v>
      </c>
      <c r="C48" s="3" t="s">
        <v>168</v>
      </c>
      <c r="D48" s="3" t="s">
        <v>422</v>
      </c>
      <c r="E48" s="3" t="s">
        <v>669</v>
      </c>
      <c r="F48" s="3">
        <v>5</v>
      </c>
      <c r="G48" s="8">
        <v>-43.137517</v>
      </c>
      <c r="H48" s="9">
        <v>-4052.95588652</v>
      </c>
      <c r="I48" s="3" t="s">
        <v>601</v>
      </c>
      <c r="J48" s="3" t="s">
        <v>670</v>
      </c>
      <c r="K48" s="3" t="s">
        <v>671</v>
      </c>
      <c r="L48" s="3" t="s">
        <v>672</v>
      </c>
      <c r="M48" s="3">
        <v>162</v>
      </c>
      <c r="N48" s="13" t="s">
        <v>605</v>
      </c>
    </row>
    <row r="49" spans="1:14">
      <c r="A49" s="3" t="s">
        <v>693</v>
      </c>
      <c r="B49" s="3" t="s">
        <v>668</v>
      </c>
      <c r="C49" s="3" t="s">
        <v>168</v>
      </c>
      <c r="D49" s="3" t="s">
        <v>412</v>
      </c>
      <c r="E49" s="3" t="s">
        <v>669</v>
      </c>
      <c r="F49" s="3">
        <v>6</v>
      </c>
      <c r="G49" s="8">
        <v>38.139492</v>
      </c>
      <c r="H49" s="9">
        <v>3628.13828688</v>
      </c>
      <c r="I49" s="3" t="s">
        <v>601</v>
      </c>
      <c r="J49" s="3" t="s">
        <v>670</v>
      </c>
      <c r="K49" s="3" t="s">
        <v>671</v>
      </c>
      <c r="L49" s="3" t="s">
        <v>672</v>
      </c>
      <c r="M49" s="3">
        <v>172</v>
      </c>
      <c r="N49" s="13" t="s">
        <v>605</v>
      </c>
    </row>
    <row r="50" spans="1:14">
      <c r="A50" s="3" t="s">
        <v>694</v>
      </c>
      <c r="B50" s="3" t="s">
        <v>668</v>
      </c>
      <c r="C50" s="3" t="s">
        <v>169</v>
      </c>
      <c r="D50" s="3" t="s">
        <v>362</v>
      </c>
      <c r="E50" s="3" t="s">
        <v>669</v>
      </c>
      <c r="F50" s="3">
        <v>5</v>
      </c>
      <c r="G50" s="8">
        <v>26.972009</v>
      </c>
      <c r="H50" s="9">
        <v>3353.10639431</v>
      </c>
      <c r="I50" s="3" t="s">
        <v>601</v>
      </c>
      <c r="J50" s="3" t="s">
        <v>670</v>
      </c>
      <c r="K50" s="3" t="s">
        <v>671</v>
      </c>
      <c r="L50" s="3" t="s">
        <v>672</v>
      </c>
      <c r="M50" s="3">
        <v>221</v>
      </c>
      <c r="N50" s="13" t="s">
        <v>605</v>
      </c>
    </row>
    <row r="51" spans="1:14">
      <c r="A51" s="3" t="s">
        <v>695</v>
      </c>
      <c r="B51" s="3" t="s">
        <v>668</v>
      </c>
      <c r="C51" s="3" t="s">
        <v>168</v>
      </c>
      <c r="D51" s="3" t="s">
        <v>411</v>
      </c>
      <c r="E51" s="3" t="s">
        <v>669</v>
      </c>
      <c r="F51" s="3">
        <v>9</v>
      </c>
      <c r="G51" s="8">
        <v>-7.973165</v>
      </c>
      <c r="H51" s="9">
        <v>3291.91138955</v>
      </c>
      <c r="I51" s="3" t="s">
        <v>601</v>
      </c>
      <c r="J51" s="3" t="s">
        <v>670</v>
      </c>
      <c r="K51" s="3" t="s">
        <v>671</v>
      </c>
      <c r="L51" s="3" t="s">
        <v>672</v>
      </c>
      <c r="M51" s="3">
        <v>173</v>
      </c>
      <c r="N51" s="13" t="s">
        <v>605</v>
      </c>
    </row>
    <row r="52" spans="1:14">
      <c r="A52" s="3" t="s">
        <v>696</v>
      </c>
      <c r="B52" s="3" t="s">
        <v>668</v>
      </c>
      <c r="C52" s="3" t="s">
        <v>169</v>
      </c>
      <c r="D52" s="3" t="s">
        <v>579</v>
      </c>
      <c r="E52" s="3" t="s">
        <v>669</v>
      </c>
      <c r="F52" s="3">
        <v>4</v>
      </c>
      <c r="G52" s="8">
        <v>-18.65001</v>
      </c>
      <c r="H52" s="9">
        <v>-2947.2086478</v>
      </c>
      <c r="I52" s="3" t="s">
        <v>601</v>
      </c>
      <c r="J52" s="3" t="s">
        <v>670</v>
      </c>
      <c r="K52" s="3" t="s">
        <v>671</v>
      </c>
      <c r="L52" s="3" t="s">
        <v>672</v>
      </c>
      <c r="M52" s="3">
        <v>5</v>
      </c>
      <c r="N52" s="13" t="s">
        <v>605</v>
      </c>
    </row>
    <row r="53" spans="1:14">
      <c r="A53" s="3" t="s">
        <v>697</v>
      </c>
      <c r="B53" s="3" t="s">
        <v>668</v>
      </c>
      <c r="C53" s="3" t="s">
        <v>168</v>
      </c>
      <c r="D53" s="3" t="s">
        <v>581</v>
      </c>
      <c r="E53" s="3" t="s">
        <v>669</v>
      </c>
      <c r="F53" s="3">
        <v>3</v>
      </c>
      <c r="G53" s="8">
        <v>18.044878</v>
      </c>
      <c r="H53" s="9">
        <v>2854.13056378</v>
      </c>
      <c r="I53" s="3" t="s">
        <v>601</v>
      </c>
      <c r="J53" s="3" t="s">
        <v>670</v>
      </c>
      <c r="K53" s="3" t="s">
        <v>671</v>
      </c>
      <c r="L53" s="3" t="s">
        <v>672</v>
      </c>
      <c r="M53" s="3">
        <v>3</v>
      </c>
      <c r="N53" s="13" t="s">
        <v>605</v>
      </c>
    </row>
    <row r="54" spans="1:14">
      <c r="A54" s="3" t="s">
        <v>698</v>
      </c>
      <c r="B54" s="3" t="s">
        <v>668</v>
      </c>
      <c r="C54" s="3" t="s">
        <v>168</v>
      </c>
      <c r="D54" s="3" t="s">
        <v>490</v>
      </c>
      <c r="E54" s="3" t="s">
        <v>699</v>
      </c>
      <c r="F54" s="3">
        <v>8</v>
      </c>
      <c r="G54" s="8">
        <v>-80.427136</v>
      </c>
      <c r="H54" s="9">
        <v>2840.945683600001</v>
      </c>
      <c r="I54" s="3" t="s">
        <v>601</v>
      </c>
      <c r="J54" s="3" t="s">
        <v>700</v>
      </c>
      <c r="K54" s="3" t="s">
        <v>701</v>
      </c>
      <c r="L54" s="3" t="s">
        <v>702</v>
      </c>
      <c r="M54" s="3">
        <v>94</v>
      </c>
      <c r="N54" s="13" t="s">
        <v>605</v>
      </c>
    </row>
    <row r="55" spans="1:14">
      <c r="A55" s="3" t="s">
        <v>703</v>
      </c>
      <c r="B55" s="3" t="s">
        <v>668</v>
      </c>
      <c r="C55" s="3" t="s">
        <v>168</v>
      </c>
      <c r="D55" s="3" t="s">
        <v>310</v>
      </c>
      <c r="E55" s="3" t="s">
        <v>669</v>
      </c>
      <c r="F55" s="3">
        <v>5</v>
      </c>
      <c r="G55" s="8">
        <v>-44.77215</v>
      </c>
      <c r="H55" s="9">
        <v>-2781.399942</v>
      </c>
      <c r="I55" s="3" t="s">
        <v>601</v>
      </c>
      <c r="J55" s="3" t="s">
        <v>670</v>
      </c>
      <c r="K55" s="3" t="s">
        <v>671</v>
      </c>
      <c r="L55" s="3" t="s">
        <v>672</v>
      </c>
      <c r="M55" s="3">
        <v>273</v>
      </c>
      <c r="N55" s="13" t="s">
        <v>605</v>
      </c>
    </row>
    <row r="56" spans="1:14">
      <c r="A56" s="3" t="s">
        <v>704</v>
      </c>
      <c r="B56" s="3" t="s">
        <v>668</v>
      </c>
      <c r="C56" s="3" t="s">
        <v>168</v>
      </c>
      <c r="D56" s="3" t="s">
        <v>513</v>
      </c>
      <c r="E56" s="3" t="s">
        <v>669</v>
      </c>
      <c r="F56" s="3">
        <v>2</v>
      </c>
      <c r="G56" s="8">
        <v>-21</v>
      </c>
      <c r="H56" s="9">
        <v>-2590.98</v>
      </c>
      <c r="I56" s="3" t="s">
        <v>601</v>
      </c>
      <c r="J56" s="3" t="s">
        <v>670</v>
      </c>
      <c r="K56" s="3" t="s">
        <v>671</v>
      </c>
      <c r="L56" s="3" t="s">
        <v>672</v>
      </c>
      <c r="M56" s="3">
        <v>71</v>
      </c>
      <c r="N56" s="13" t="s">
        <v>605</v>
      </c>
    </row>
    <row r="57" spans="1:14">
      <c r="A57" s="3" t="s">
        <v>705</v>
      </c>
      <c r="B57" s="3" t="s">
        <v>668</v>
      </c>
      <c r="C57" s="3" t="s">
        <v>169</v>
      </c>
      <c r="D57" s="3" t="s">
        <v>271</v>
      </c>
      <c r="E57" s="3" t="s">
        <v>669</v>
      </c>
      <c r="F57" s="3">
        <v>5</v>
      </c>
      <c r="G57" s="8">
        <v>-25.584086</v>
      </c>
      <c r="H57" s="9">
        <v>-2532.92525224</v>
      </c>
      <c r="I57" s="3" t="s">
        <v>601</v>
      </c>
      <c r="J57" s="3" t="s">
        <v>670</v>
      </c>
      <c r="K57" s="3" t="s">
        <v>671</v>
      </c>
      <c r="L57" s="3" t="s">
        <v>672</v>
      </c>
      <c r="M57" s="3">
        <v>312</v>
      </c>
      <c r="N57" s="13" t="s">
        <v>605</v>
      </c>
    </row>
    <row r="58" spans="1:14">
      <c r="A58" s="3" t="s">
        <v>706</v>
      </c>
      <c r="B58" s="3" t="s">
        <v>668</v>
      </c>
      <c r="C58" s="3" t="s">
        <v>168</v>
      </c>
      <c r="D58" s="3" t="s">
        <v>345</v>
      </c>
      <c r="E58" s="3" t="s">
        <v>669</v>
      </c>
      <c r="F58" s="3">
        <v>10</v>
      </c>
      <c r="G58" s="8">
        <v>2.428865</v>
      </c>
      <c r="H58" s="9">
        <v>2529.0646748</v>
      </c>
      <c r="I58" s="3" t="s">
        <v>601</v>
      </c>
      <c r="J58" s="3" t="s">
        <v>670</v>
      </c>
      <c r="K58" s="3" t="s">
        <v>671</v>
      </c>
      <c r="L58" s="3" t="s">
        <v>672</v>
      </c>
      <c r="M58" s="3">
        <v>238</v>
      </c>
      <c r="N58" s="13" t="s">
        <v>605</v>
      </c>
    </row>
    <row r="59" spans="1:14">
      <c r="A59" s="3" t="s">
        <v>707</v>
      </c>
      <c r="B59" s="3" t="s">
        <v>668</v>
      </c>
      <c r="C59" s="3" t="s">
        <v>169</v>
      </c>
      <c r="D59" s="3" t="s">
        <v>336</v>
      </c>
      <c r="E59" s="3" t="s">
        <v>669</v>
      </c>
      <c r="F59" s="3">
        <v>4</v>
      </c>
      <c r="G59" s="8">
        <v>-21.168172</v>
      </c>
      <c r="H59" s="9">
        <v>-2460.63975448</v>
      </c>
      <c r="I59" s="3" t="s">
        <v>619</v>
      </c>
      <c r="J59" s="3" t="s">
        <v>670</v>
      </c>
      <c r="K59" s="3" t="s">
        <v>671</v>
      </c>
      <c r="L59" s="3" t="s">
        <v>672</v>
      </c>
      <c r="M59" s="3">
        <v>247</v>
      </c>
      <c r="N59" s="13" t="s">
        <v>605</v>
      </c>
    </row>
    <row r="60" spans="1:14">
      <c r="A60" s="3" t="s">
        <v>708</v>
      </c>
      <c r="B60" s="3" t="s">
        <v>668</v>
      </c>
      <c r="C60" s="3" t="s">
        <v>169</v>
      </c>
      <c r="D60" s="3" t="s">
        <v>522</v>
      </c>
      <c r="E60" s="3" t="s">
        <v>669</v>
      </c>
      <c r="F60" s="3">
        <v>12</v>
      </c>
      <c r="G60" s="8">
        <v>-33.168172</v>
      </c>
      <c r="H60" s="9">
        <v>2197.87609564</v>
      </c>
      <c r="I60" s="3" t="s">
        <v>619</v>
      </c>
      <c r="J60" s="3" t="s">
        <v>670</v>
      </c>
      <c r="K60" s="3" t="s">
        <v>671</v>
      </c>
      <c r="L60" s="3" t="s">
        <v>672</v>
      </c>
      <c r="M60" s="3">
        <v>62</v>
      </c>
      <c r="N60" s="13" t="s">
        <v>605</v>
      </c>
    </row>
    <row r="61" spans="1:14">
      <c r="A61" s="3" t="s">
        <v>709</v>
      </c>
      <c r="B61" s="3" t="s">
        <v>668</v>
      </c>
      <c r="C61" s="3" t="s">
        <v>170</v>
      </c>
      <c r="D61" s="3" t="s">
        <v>568</v>
      </c>
      <c r="E61" s="3" t="s">
        <v>669</v>
      </c>
      <c r="F61" s="3">
        <v>7</v>
      </c>
      <c r="G61" s="8">
        <v>1.880832</v>
      </c>
      <c r="H61" s="9">
        <v>2148.89707104</v>
      </c>
      <c r="I61" s="3" t="s">
        <v>619</v>
      </c>
      <c r="J61" s="3" t="s">
        <v>670</v>
      </c>
      <c r="K61" s="3" t="s">
        <v>671</v>
      </c>
      <c r="L61" s="3" t="s">
        <v>672</v>
      </c>
      <c r="M61" s="3">
        <v>16</v>
      </c>
      <c r="N61" s="13" t="s">
        <v>605</v>
      </c>
    </row>
    <row r="62" spans="1:14">
      <c r="A62" s="3" t="s">
        <v>710</v>
      </c>
      <c r="B62" s="3" t="s">
        <v>668</v>
      </c>
      <c r="C62" s="3" t="s">
        <v>169</v>
      </c>
      <c r="D62" s="3" t="s">
        <v>272</v>
      </c>
      <c r="E62" s="3" t="s">
        <v>669</v>
      </c>
      <c r="F62" s="3">
        <v>4</v>
      </c>
      <c r="G62" s="8">
        <v>-19.584086</v>
      </c>
      <c r="H62" s="9">
        <v>-2030.35173518</v>
      </c>
      <c r="I62" s="3" t="s">
        <v>619</v>
      </c>
      <c r="J62" s="3" t="s">
        <v>670</v>
      </c>
      <c r="K62" s="3" t="s">
        <v>671</v>
      </c>
      <c r="L62" s="3" t="s">
        <v>672</v>
      </c>
      <c r="M62" s="3">
        <v>311</v>
      </c>
      <c r="N62" s="13" t="s">
        <v>605</v>
      </c>
    </row>
    <row r="63" spans="1:14">
      <c r="A63" s="3" t="s">
        <v>711</v>
      </c>
      <c r="B63" s="3" t="s">
        <v>668</v>
      </c>
      <c r="C63" s="3" t="s">
        <v>168</v>
      </c>
      <c r="D63" s="3" t="s">
        <v>358</v>
      </c>
      <c r="E63" s="3" t="s">
        <v>669</v>
      </c>
      <c r="F63" s="3">
        <v>6</v>
      </c>
      <c r="G63" s="8">
        <v>-35.53215</v>
      </c>
      <c r="H63" s="9">
        <v>-1955.6705385</v>
      </c>
      <c r="I63" s="3" t="s">
        <v>619</v>
      </c>
      <c r="J63" s="3" t="s">
        <v>670</v>
      </c>
      <c r="K63" s="3" t="s">
        <v>671</v>
      </c>
      <c r="L63" s="3" t="s">
        <v>672</v>
      </c>
      <c r="M63" s="3">
        <v>225</v>
      </c>
      <c r="N63" s="13" t="s">
        <v>605</v>
      </c>
    </row>
    <row r="64" spans="1:14">
      <c r="A64" s="3" t="s">
        <v>712</v>
      </c>
      <c r="B64" s="3" t="s">
        <v>668</v>
      </c>
      <c r="C64" s="3" t="s">
        <v>168</v>
      </c>
      <c r="D64" s="3" t="s">
        <v>286</v>
      </c>
      <c r="E64" s="3" t="s">
        <v>669</v>
      </c>
      <c r="F64" s="3">
        <v>6</v>
      </c>
      <c r="G64" s="8">
        <v>-34.27215</v>
      </c>
      <c r="H64" s="9">
        <v>-1818.2305875</v>
      </c>
      <c r="I64" s="3" t="s">
        <v>619</v>
      </c>
      <c r="J64" s="3" t="s">
        <v>670</v>
      </c>
      <c r="K64" s="3" t="s">
        <v>671</v>
      </c>
      <c r="L64" s="3" t="s">
        <v>672</v>
      </c>
      <c r="M64" s="3">
        <v>297</v>
      </c>
      <c r="N64" s="13" t="s">
        <v>605</v>
      </c>
    </row>
    <row r="65" spans="1:14">
      <c r="A65" s="3" t="s">
        <v>713</v>
      </c>
      <c r="B65" s="3" t="s">
        <v>668</v>
      </c>
      <c r="C65" s="3" t="s">
        <v>169</v>
      </c>
      <c r="D65" s="3" t="s">
        <v>573</v>
      </c>
      <c r="E65" s="3" t="s">
        <v>669</v>
      </c>
      <c r="F65" s="3">
        <v>7</v>
      </c>
      <c r="G65" s="8">
        <v>8.674994999999999</v>
      </c>
      <c r="H65" s="9">
        <v>1816.38740535</v>
      </c>
      <c r="I65" s="3" t="s">
        <v>619</v>
      </c>
      <c r="J65" s="3" t="s">
        <v>670</v>
      </c>
      <c r="K65" s="3" t="s">
        <v>671</v>
      </c>
      <c r="L65" s="3" t="s">
        <v>672</v>
      </c>
      <c r="M65" s="3">
        <v>11</v>
      </c>
      <c r="N65" s="13" t="s">
        <v>605</v>
      </c>
    </row>
    <row r="66" spans="1:14">
      <c r="A66" s="3" t="s">
        <v>714</v>
      </c>
      <c r="B66" s="3" t="s">
        <v>668</v>
      </c>
      <c r="C66" s="3" t="s">
        <v>169</v>
      </c>
      <c r="D66" s="3" t="s">
        <v>310</v>
      </c>
      <c r="E66" s="3" t="s">
        <v>669</v>
      </c>
      <c r="F66" s="3">
        <v>4</v>
      </c>
      <c r="G66" s="8">
        <v>-22.143187</v>
      </c>
      <c r="H66" s="9">
        <v>-1721.44392066</v>
      </c>
      <c r="I66" s="3" t="s">
        <v>619</v>
      </c>
      <c r="J66" s="3" t="s">
        <v>670</v>
      </c>
      <c r="K66" s="3" t="s">
        <v>671</v>
      </c>
      <c r="L66" s="3" t="s">
        <v>672</v>
      </c>
      <c r="M66" s="3">
        <v>273</v>
      </c>
      <c r="N66" s="13" t="s">
        <v>605</v>
      </c>
    </row>
    <row r="67" spans="1:14">
      <c r="A67" s="3" t="s">
        <v>715</v>
      </c>
      <c r="B67" s="3" t="s">
        <v>668</v>
      </c>
      <c r="C67" s="3" t="s">
        <v>170</v>
      </c>
      <c r="D67" s="3" t="s">
        <v>570</v>
      </c>
      <c r="E67" s="3" t="s">
        <v>669</v>
      </c>
      <c r="F67" s="3">
        <v>7</v>
      </c>
      <c r="G67" s="8">
        <v>4.050814</v>
      </c>
      <c r="H67" s="9">
        <v>1600.1381064</v>
      </c>
      <c r="I67" s="3" t="s">
        <v>619</v>
      </c>
      <c r="J67" s="3" t="s">
        <v>670</v>
      </c>
      <c r="K67" s="3" t="s">
        <v>671</v>
      </c>
      <c r="L67" s="3" t="s">
        <v>672</v>
      </c>
      <c r="M67" s="3">
        <v>14</v>
      </c>
      <c r="N67" s="13" t="s">
        <v>605</v>
      </c>
    </row>
    <row r="68" spans="1:14">
      <c r="A68" s="3" t="s">
        <v>716</v>
      </c>
      <c r="B68" s="3" t="s">
        <v>668</v>
      </c>
      <c r="C68" s="3" t="s">
        <v>168</v>
      </c>
      <c r="D68" s="3" t="s">
        <v>279</v>
      </c>
      <c r="E68" s="3" t="s">
        <v>699</v>
      </c>
      <c r="F68" s="3">
        <v>8</v>
      </c>
      <c r="G68" s="8">
        <v>39.488288</v>
      </c>
      <c r="H68" s="9">
        <v>1585.74790768</v>
      </c>
      <c r="I68" s="3" t="s">
        <v>619</v>
      </c>
      <c r="J68" s="3" t="s">
        <v>700</v>
      </c>
      <c r="K68" s="3" t="s">
        <v>701</v>
      </c>
      <c r="L68" s="3" t="s">
        <v>702</v>
      </c>
      <c r="M68" s="3">
        <v>304</v>
      </c>
      <c r="N68" s="13" t="s">
        <v>605</v>
      </c>
    </row>
    <row r="69" spans="1:14">
      <c r="A69" s="3" t="s">
        <v>717</v>
      </c>
      <c r="B69" s="3" t="s">
        <v>668</v>
      </c>
      <c r="C69" s="3" t="s">
        <v>170</v>
      </c>
      <c r="D69" s="3" t="s">
        <v>419</v>
      </c>
      <c r="E69" s="3" t="s">
        <v>669</v>
      </c>
      <c r="F69" s="3">
        <v>10</v>
      </c>
      <c r="G69" s="8">
        <v>-0.350452</v>
      </c>
      <c r="H69" s="9">
        <v>1556.71303928</v>
      </c>
      <c r="I69" s="3" t="s">
        <v>619</v>
      </c>
      <c r="J69" s="3" t="s">
        <v>670</v>
      </c>
      <c r="K69" s="3" t="s">
        <v>671</v>
      </c>
      <c r="L69" s="3" t="s">
        <v>672</v>
      </c>
      <c r="M69" s="3">
        <v>165</v>
      </c>
      <c r="N69" s="13" t="s">
        <v>605</v>
      </c>
    </row>
    <row r="70" spans="1:14">
      <c r="A70" s="3" t="s">
        <v>718</v>
      </c>
      <c r="B70" s="3" t="s">
        <v>668</v>
      </c>
      <c r="C70" s="3" t="s">
        <v>169</v>
      </c>
      <c r="D70" s="3" t="s">
        <v>264</v>
      </c>
      <c r="E70" s="3" t="s">
        <v>669</v>
      </c>
      <c r="F70" s="3">
        <v>15</v>
      </c>
      <c r="G70" s="8">
        <v>6.793895</v>
      </c>
      <c r="H70" s="9">
        <v>1438.97173046</v>
      </c>
      <c r="I70" s="3" t="s">
        <v>619</v>
      </c>
      <c r="J70" s="3" t="s">
        <v>670</v>
      </c>
      <c r="K70" s="3" t="s">
        <v>671</v>
      </c>
      <c r="L70" s="3" t="s">
        <v>672</v>
      </c>
      <c r="M70" s="3">
        <v>319</v>
      </c>
      <c r="N70" s="13" t="s">
        <v>605</v>
      </c>
    </row>
    <row r="71" spans="1:14">
      <c r="A71" s="3" t="s">
        <v>719</v>
      </c>
      <c r="B71" s="3" t="s">
        <v>668</v>
      </c>
      <c r="C71" s="3" t="s">
        <v>170</v>
      </c>
      <c r="D71" s="3" t="s">
        <v>283</v>
      </c>
      <c r="E71" s="3" t="s">
        <v>669</v>
      </c>
      <c r="F71" s="3">
        <v>4</v>
      </c>
      <c r="G71" s="8">
        <v>9.380832</v>
      </c>
      <c r="H71" s="9">
        <v>1400.85815808</v>
      </c>
      <c r="I71" s="3" t="s">
        <v>619</v>
      </c>
      <c r="J71" s="3" t="s">
        <v>670</v>
      </c>
      <c r="K71" s="3" t="s">
        <v>671</v>
      </c>
      <c r="L71" s="3" t="s">
        <v>672</v>
      </c>
      <c r="M71" s="3">
        <v>300</v>
      </c>
      <c r="N71" s="13" t="s">
        <v>605</v>
      </c>
    </row>
    <row r="72" spans="1:14">
      <c r="A72" s="3" t="s">
        <v>720</v>
      </c>
      <c r="B72" s="3" t="s">
        <v>668</v>
      </c>
      <c r="C72" s="3" t="s">
        <v>168</v>
      </c>
      <c r="D72" s="3" t="s">
        <v>374</v>
      </c>
      <c r="E72" s="3" t="s">
        <v>669</v>
      </c>
      <c r="F72" s="3">
        <v>1</v>
      </c>
      <c r="G72" s="8">
        <v>-10.5</v>
      </c>
      <c r="H72" s="9">
        <v>-1229.025</v>
      </c>
      <c r="I72" s="3" t="s">
        <v>619</v>
      </c>
      <c r="J72" s="3" t="s">
        <v>670</v>
      </c>
      <c r="K72" s="3" t="s">
        <v>671</v>
      </c>
      <c r="L72" s="3" t="s">
        <v>672</v>
      </c>
      <c r="M72" s="3">
        <v>209</v>
      </c>
      <c r="N72" s="13" t="s">
        <v>605</v>
      </c>
    </row>
    <row r="73" spans="1:14">
      <c r="A73" s="3" t="s">
        <v>721</v>
      </c>
      <c r="B73" s="3" t="s">
        <v>668</v>
      </c>
      <c r="C73" s="3" t="s">
        <v>168</v>
      </c>
      <c r="D73" s="3" t="s">
        <v>332</v>
      </c>
      <c r="E73" s="3" t="s">
        <v>669</v>
      </c>
      <c r="F73" s="3">
        <v>18</v>
      </c>
      <c r="G73" s="8">
        <v>-23.684809</v>
      </c>
      <c r="H73" s="9">
        <v>1179.204063940001</v>
      </c>
      <c r="I73" s="3" t="s">
        <v>619</v>
      </c>
      <c r="J73" s="3" t="s">
        <v>670</v>
      </c>
      <c r="K73" s="3" t="s">
        <v>671</v>
      </c>
      <c r="L73" s="3" t="s">
        <v>672</v>
      </c>
      <c r="M73" s="3">
        <v>251</v>
      </c>
      <c r="N73" s="13" t="s">
        <v>605</v>
      </c>
    </row>
    <row r="74" spans="1:14">
      <c r="A74" s="3" t="s">
        <v>722</v>
      </c>
      <c r="B74" s="3" t="s">
        <v>668</v>
      </c>
      <c r="C74" s="3" t="s">
        <v>170</v>
      </c>
      <c r="D74" s="3" t="s">
        <v>259</v>
      </c>
      <c r="E74" s="3" t="s">
        <v>669</v>
      </c>
      <c r="F74" s="3">
        <v>4</v>
      </c>
      <c r="G74" s="8">
        <v>9.380832</v>
      </c>
      <c r="H74" s="9">
        <v>1140.45621664</v>
      </c>
      <c r="I74" s="3" t="s">
        <v>619</v>
      </c>
      <c r="J74" s="3" t="s">
        <v>670</v>
      </c>
      <c r="K74" s="3" t="s">
        <v>671</v>
      </c>
      <c r="L74" s="3" t="s">
        <v>672</v>
      </c>
      <c r="M74" s="3">
        <v>324</v>
      </c>
      <c r="N74" s="13" t="s">
        <v>605</v>
      </c>
    </row>
    <row r="75" spans="1:14">
      <c r="A75" s="3" t="s">
        <v>723</v>
      </c>
      <c r="B75" s="3" t="s">
        <v>668</v>
      </c>
      <c r="C75" s="3" t="s">
        <v>169</v>
      </c>
      <c r="D75" s="3" t="s">
        <v>246</v>
      </c>
      <c r="E75" s="3" t="s">
        <v>669</v>
      </c>
      <c r="F75" s="3">
        <v>4</v>
      </c>
      <c r="G75" s="8">
        <v>-19.584086</v>
      </c>
      <c r="H75" s="9">
        <v>-1094.1507299</v>
      </c>
      <c r="I75" s="3" t="s">
        <v>619</v>
      </c>
      <c r="J75" s="3" t="s">
        <v>670</v>
      </c>
      <c r="K75" s="3" t="s">
        <v>671</v>
      </c>
      <c r="L75" s="3" t="s">
        <v>672</v>
      </c>
      <c r="M75" s="3">
        <v>337</v>
      </c>
      <c r="N75" s="13" t="s">
        <v>605</v>
      </c>
    </row>
    <row r="76" spans="1:14">
      <c r="A76" s="3" t="s">
        <v>724</v>
      </c>
      <c r="B76" s="3" t="s">
        <v>668</v>
      </c>
      <c r="C76" s="3" t="s">
        <v>170</v>
      </c>
      <c r="D76" s="3" t="s">
        <v>329</v>
      </c>
      <c r="E76" s="3" t="s">
        <v>669</v>
      </c>
      <c r="F76" s="3">
        <v>5</v>
      </c>
      <c r="G76" s="8">
        <v>6.880832</v>
      </c>
      <c r="H76" s="9">
        <v>989.9586256</v>
      </c>
      <c r="I76" s="3" t="s">
        <v>619</v>
      </c>
      <c r="J76" s="3" t="s">
        <v>670</v>
      </c>
      <c r="K76" s="3" t="s">
        <v>671</v>
      </c>
      <c r="L76" s="3" t="s">
        <v>672</v>
      </c>
      <c r="M76" s="3">
        <v>254</v>
      </c>
      <c r="N76" s="13" t="s">
        <v>605</v>
      </c>
    </row>
    <row r="77" spans="1:14">
      <c r="A77" s="3" t="s">
        <v>725</v>
      </c>
      <c r="B77" s="3" t="s">
        <v>668</v>
      </c>
      <c r="C77" s="3" t="s">
        <v>169</v>
      </c>
      <c r="D77" s="3" t="s">
        <v>335</v>
      </c>
      <c r="E77" s="3" t="s">
        <v>669</v>
      </c>
      <c r="F77" s="3">
        <v>14</v>
      </c>
      <c r="G77" s="8">
        <v>-9.168172</v>
      </c>
      <c r="H77" s="9">
        <v>950.4500511199997</v>
      </c>
      <c r="I77" s="3" t="s">
        <v>619</v>
      </c>
      <c r="J77" s="3" t="s">
        <v>670</v>
      </c>
      <c r="K77" s="3" t="s">
        <v>671</v>
      </c>
      <c r="L77" s="3" t="s">
        <v>672</v>
      </c>
      <c r="M77" s="3">
        <v>248</v>
      </c>
      <c r="N77" s="13" t="s">
        <v>605</v>
      </c>
    </row>
    <row r="78" spans="1:14">
      <c r="A78" s="3" t="s">
        <v>726</v>
      </c>
      <c r="B78" s="3" t="s">
        <v>668</v>
      </c>
      <c r="C78" s="3" t="s">
        <v>170</v>
      </c>
      <c r="D78" s="3" t="s">
        <v>262</v>
      </c>
      <c r="E78" s="3" t="s">
        <v>669</v>
      </c>
      <c r="F78" s="3">
        <v>12</v>
      </c>
      <c r="G78" s="8">
        <v>3.614581</v>
      </c>
      <c r="H78" s="9">
        <v>875.01404902</v>
      </c>
      <c r="I78" s="3" t="s">
        <v>619</v>
      </c>
      <c r="J78" s="3" t="s">
        <v>670</v>
      </c>
      <c r="K78" s="3" t="s">
        <v>671</v>
      </c>
      <c r="L78" s="3" t="s">
        <v>672</v>
      </c>
      <c r="M78" s="3">
        <v>321</v>
      </c>
      <c r="N78" s="13" t="s">
        <v>605</v>
      </c>
    </row>
    <row r="79" spans="1:14">
      <c r="A79" s="3" t="s">
        <v>727</v>
      </c>
      <c r="B79" s="3" t="s">
        <v>668</v>
      </c>
      <c r="C79" s="3" t="s">
        <v>168</v>
      </c>
      <c r="D79" s="3" t="s">
        <v>287</v>
      </c>
      <c r="E79" s="3" t="s">
        <v>669</v>
      </c>
      <c r="F79" s="3">
        <v>1</v>
      </c>
      <c r="G79" s="8">
        <v>10.5</v>
      </c>
      <c r="H79" s="9">
        <v>835.59</v>
      </c>
      <c r="I79" s="3" t="s">
        <v>619</v>
      </c>
      <c r="J79" s="3" t="s">
        <v>670</v>
      </c>
      <c r="K79" s="3" t="s">
        <v>671</v>
      </c>
      <c r="L79" s="3" t="s">
        <v>672</v>
      </c>
      <c r="M79" s="3">
        <v>296</v>
      </c>
      <c r="N79" s="13" t="s">
        <v>605</v>
      </c>
    </row>
    <row r="80" spans="1:14">
      <c r="A80" s="3" t="s">
        <v>728</v>
      </c>
      <c r="B80" s="3" t="s">
        <v>668</v>
      </c>
      <c r="C80" s="3" t="s">
        <v>170</v>
      </c>
      <c r="D80" s="3" t="s">
        <v>518</v>
      </c>
      <c r="E80" s="3" t="s">
        <v>669</v>
      </c>
      <c r="F80" s="3">
        <v>4</v>
      </c>
      <c r="G80" s="8">
        <v>4.390416</v>
      </c>
      <c r="H80" s="9">
        <v>802.4145779200001</v>
      </c>
      <c r="I80" s="3" t="s">
        <v>619</v>
      </c>
      <c r="J80" s="3" t="s">
        <v>670</v>
      </c>
      <c r="K80" s="3" t="s">
        <v>671</v>
      </c>
      <c r="L80" s="3" t="s">
        <v>672</v>
      </c>
      <c r="M80" s="3">
        <v>66</v>
      </c>
      <c r="N80" s="13" t="s">
        <v>605</v>
      </c>
    </row>
    <row r="81" spans="1:14">
      <c r="A81" s="3" t="s">
        <v>729</v>
      </c>
      <c r="B81" s="3" t="s">
        <v>668</v>
      </c>
      <c r="C81" s="3" t="s">
        <v>170</v>
      </c>
      <c r="D81" s="3" t="s">
        <v>468</v>
      </c>
      <c r="E81" s="3" t="s">
        <v>669</v>
      </c>
      <c r="F81" s="3">
        <v>2</v>
      </c>
      <c r="G81" s="8">
        <v>5</v>
      </c>
      <c r="H81" s="9">
        <v>764.2750000000001</v>
      </c>
      <c r="I81" s="3" t="s">
        <v>619</v>
      </c>
      <c r="J81" s="3" t="s">
        <v>670</v>
      </c>
      <c r="K81" s="3" t="s">
        <v>671</v>
      </c>
      <c r="L81" s="3" t="s">
        <v>672</v>
      </c>
      <c r="M81" s="3">
        <v>116</v>
      </c>
      <c r="N81" s="13" t="s">
        <v>605</v>
      </c>
    </row>
    <row r="82" spans="1:14">
      <c r="A82" s="3" t="s">
        <v>730</v>
      </c>
      <c r="B82" s="3" t="s">
        <v>668</v>
      </c>
      <c r="C82" s="3" t="s">
        <v>170</v>
      </c>
      <c r="D82" s="3" t="s">
        <v>278</v>
      </c>
      <c r="E82" s="3" t="s">
        <v>669</v>
      </c>
      <c r="F82" s="3">
        <v>5</v>
      </c>
      <c r="G82" s="8">
        <v>6.880832</v>
      </c>
      <c r="H82" s="9">
        <v>752.9277862399999</v>
      </c>
      <c r="I82" s="3" t="s">
        <v>619</v>
      </c>
      <c r="J82" s="3" t="s">
        <v>670</v>
      </c>
      <c r="K82" s="3" t="s">
        <v>671</v>
      </c>
      <c r="L82" s="3" t="s">
        <v>672</v>
      </c>
      <c r="M82" s="3">
        <v>305</v>
      </c>
      <c r="N82" s="13" t="s">
        <v>605</v>
      </c>
    </row>
    <row r="83" spans="1:14">
      <c r="A83" s="3" t="s">
        <v>731</v>
      </c>
      <c r="B83" s="3" t="s">
        <v>668</v>
      </c>
      <c r="C83" s="3" t="s">
        <v>169</v>
      </c>
      <c r="D83" s="3" t="s">
        <v>437</v>
      </c>
      <c r="E83" s="3" t="s">
        <v>669</v>
      </c>
      <c r="F83" s="3">
        <v>16</v>
      </c>
      <c r="G83" s="8">
        <v>-12.814176</v>
      </c>
      <c r="H83" s="9">
        <v>702.4091087200001</v>
      </c>
      <c r="I83" s="3" t="s">
        <v>619</v>
      </c>
      <c r="J83" s="3" t="s">
        <v>670</v>
      </c>
      <c r="K83" s="3" t="s">
        <v>671</v>
      </c>
      <c r="L83" s="3" t="s">
        <v>672</v>
      </c>
      <c r="M83" s="3">
        <v>147</v>
      </c>
      <c r="N83" s="13" t="s">
        <v>605</v>
      </c>
    </row>
    <row r="84" spans="1:14">
      <c r="A84" s="3" t="s">
        <v>732</v>
      </c>
      <c r="B84" s="3" t="s">
        <v>668</v>
      </c>
      <c r="C84" s="3" t="s">
        <v>169</v>
      </c>
      <c r="D84" s="3" t="s">
        <v>438</v>
      </c>
      <c r="E84" s="3" t="s">
        <v>669</v>
      </c>
      <c r="F84" s="3">
        <v>1</v>
      </c>
      <c r="G84" s="8">
        <v>-6</v>
      </c>
      <c r="H84" s="9">
        <v>-647.4000000000001</v>
      </c>
      <c r="I84" s="3" t="s">
        <v>619</v>
      </c>
      <c r="J84" s="3" t="s">
        <v>670</v>
      </c>
      <c r="K84" s="3" t="s">
        <v>671</v>
      </c>
      <c r="L84" s="3" t="s">
        <v>672</v>
      </c>
      <c r="M84" s="3">
        <v>146</v>
      </c>
      <c r="N84" s="13" t="s">
        <v>605</v>
      </c>
    </row>
    <row r="85" spans="1:14">
      <c r="A85" s="3" t="s">
        <v>733</v>
      </c>
      <c r="B85" s="3" t="s">
        <v>668</v>
      </c>
      <c r="C85" s="3" t="s">
        <v>170</v>
      </c>
      <c r="D85" s="3" t="s">
        <v>315</v>
      </c>
      <c r="E85" s="3" t="s">
        <v>669</v>
      </c>
      <c r="F85" s="3">
        <v>2</v>
      </c>
      <c r="G85" s="8">
        <v>4.690416</v>
      </c>
      <c r="H85" s="9">
        <v>626.37856512</v>
      </c>
      <c r="I85" s="3" t="s">
        <v>619</v>
      </c>
      <c r="J85" s="3" t="s">
        <v>670</v>
      </c>
      <c r="K85" s="3" t="s">
        <v>671</v>
      </c>
      <c r="L85" s="3" t="s">
        <v>672</v>
      </c>
      <c r="M85" s="3">
        <v>268</v>
      </c>
      <c r="N85" s="13" t="s">
        <v>605</v>
      </c>
    </row>
    <row r="86" spans="1:14">
      <c r="A86" s="3" t="s">
        <v>734</v>
      </c>
      <c r="B86" s="3" t="s">
        <v>668</v>
      </c>
      <c r="C86" s="3" t="s">
        <v>170</v>
      </c>
      <c r="D86" s="3" t="s">
        <v>281</v>
      </c>
      <c r="E86" s="3" t="s">
        <v>669</v>
      </c>
      <c r="F86" s="3">
        <v>3</v>
      </c>
      <c r="G86" s="8">
        <v>6.880832</v>
      </c>
      <c r="H86" s="9">
        <v>604.70161984</v>
      </c>
      <c r="I86" s="3" t="s">
        <v>619</v>
      </c>
      <c r="J86" s="3" t="s">
        <v>670</v>
      </c>
      <c r="K86" s="3" t="s">
        <v>671</v>
      </c>
      <c r="L86" s="3" t="s">
        <v>672</v>
      </c>
      <c r="M86" s="3">
        <v>302</v>
      </c>
      <c r="N86" s="13" t="s">
        <v>605</v>
      </c>
    </row>
    <row r="87" spans="1:14">
      <c r="A87" s="3" t="s">
        <v>735</v>
      </c>
      <c r="B87" s="3" t="s">
        <v>668</v>
      </c>
      <c r="C87" s="3" t="s">
        <v>170</v>
      </c>
      <c r="D87" s="3" t="s">
        <v>378</v>
      </c>
      <c r="E87" s="3" t="s">
        <v>669</v>
      </c>
      <c r="F87" s="3">
        <v>3</v>
      </c>
      <c r="G87" s="8">
        <v>-5.330018</v>
      </c>
      <c r="H87" s="9">
        <v>-591.3860214</v>
      </c>
      <c r="I87" s="3" t="s">
        <v>619</v>
      </c>
      <c r="J87" s="3" t="s">
        <v>670</v>
      </c>
      <c r="K87" s="3" t="s">
        <v>671</v>
      </c>
      <c r="L87" s="3" t="s">
        <v>672</v>
      </c>
      <c r="M87" s="3">
        <v>205</v>
      </c>
      <c r="N87" s="13" t="s">
        <v>605</v>
      </c>
    </row>
    <row r="88" spans="1:14">
      <c r="A88" s="3" t="s">
        <v>736</v>
      </c>
      <c r="B88" s="3" t="s">
        <v>668</v>
      </c>
      <c r="C88" s="3" t="s">
        <v>170</v>
      </c>
      <c r="D88" s="3" t="s">
        <v>526</v>
      </c>
      <c r="E88" s="3" t="s">
        <v>669</v>
      </c>
      <c r="F88" s="3">
        <v>2</v>
      </c>
      <c r="G88" s="8">
        <v>-3.885419</v>
      </c>
      <c r="H88" s="9">
        <v>-560.36239068</v>
      </c>
      <c r="I88" s="3" t="s">
        <v>619</v>
      </c>
      <c r="J88" s="3" t="s">
        <v>670</v>
      </c>
      <c r="K88" s="3" t="s">
        <v>671</v>
      </c>
      <c r="L88" s="3" t="s">
        <v>672</v>
      </c>
      <c r="M88" s="3">
        <v>58</v>
      </c>
      <c r="N88" s="13" t="s">
        <v>605</v>
      </c>
    </row>
    <row r="89" spans="1:14">
      <c r="A89" s="3" t="s">
        <v>737</v>
      </c>
      <c r="B89" s="3" t="s">
        <v>668</v>
      </c>
      <c r="C89" s="3" t="s">
        <v>170</v>
      </c>
      <c r="D89" s="3" t="s">
        <v>432</v>
      </c>
      <c r="E89" s="3" t="s">
        <v>669</v>
      </c>
      <c r="F89" s="3">
        <v>4</v>
      </c>
      <c r="G89" s="8">
        <v>4.390416</v>
      </c>
      <c r="H89" s="9">
        <v>544.2777436800001</v>
      </c>
      <c r="I89" s="3" t="s">
        <v>619</v>
      </c>
      <c r="J89" s="3" t="s">
        <v>670</v>
      </c>
      <c r="K89" s="3" t="s">
        <v>671</v>
      </c>
      <c r="L89" s="3" t="s">
        <v>672</v>
      </c>
      <c r="M89" s="3">
        <v>152</v>
      </c>
      <c r="N89" s="13" t="s">
        <v>605</v>
      </c>
    </row>
    <row r="90" spans="1:14">
      <c r="A90" s="3" t="s">
        <v>738</v>
      </c>
      <c r="B90" s="3" t="s">
        <v>668</v>
      </c>
      <c r="C90" s="3" t="s">
        <v>170</v>
      </c>
      <c r="D90" s="3" t="s">
        <v>299</v>
      </c>
      <c r="E90" s="3" t="s">
        <v>669</v>
      </c>
      <c r="F90" s="3">
        <v>7</v>
      </c>
      <c r="G90" s="8">
        <v>4.050814</v>
      </c>
      <c r="H90" s="9">
        <v>538.4959589599999</v>
      </c>
      <c r="I90" s="3" t="s">
        <v>619</v>
      </c>
      <c r="J90" s="3" t="s">
        <v>670</v>
      </c>
      <c r="K90" s="3" t="s">
        <v>671</v>
      </c>
      <c r="L90" s="3" t="s">
        <v>672</v>
      </c>
      <c r="M90" s="3">
        <v>284</v>
      </c>
      <c r="N90" s="13" t="s">
        <v>605</v>
      </c>
    </row>
    <row r="91" spans="1:14">
      <c r="A91" s="3" t="s">
        <v>739</v>
      </c>
      <c r="B91" s="3" t="s">
        <v>668</v>
      </c>
      <c r="C91" s="3" t="s">
        <v>169</v>
      </c>
      <c r="D91" s="3" t="s">
        <v>471</v>
      </c>
      <c r="E91" s="3" t="s">
        <v>669</v>
      </c>
      <c r="F91" s="3">
        <v>9</v>
      </c>
      <c r="G91" s="8">
        <v>-51.168172</v>
      </c>
      <c r="H91" s="9">
        <v>-529.27601608</v>
      </c>
      <c r="I91" s="3" t="s">
        <v>619</v>
      </c>
      <c r="J91" s="3" t="s">
        <v>670</v>
      </c>
      <c r="K91" s="3" t="s">
        <v>671</v>
      </c>
      <c r="L91" s="3" t="s">
        <v>672</v>
      </c>
      <c r="M91" s="3">
        <v>113</v>
      </c>
      <c r="N91" s="13" t="s">
        <v>605</v>
      </c>
    </row>
    <row r="92" spans="1:14">
      <c r="A92" s="3" t="s">
        <v>740</v>
      </c>
      <c r="B92" s="3" t="s">
        <v>668</v>
      </c>
      <c r="C92" s="3" t="s">
        <v>168</v>
      </c>
      <c r="D92" s="3" t="s">
        <v>365</v>
      </c>
      <c r="E92" s="3" t="s">
        <v>669</v>
      </c>
      <c r="F92" s="3">
        <v>2</v>
      </c>
      <c r="G92" s="8">
        <v>-13.27215</v>
      </c>
      <c r="H92" s="9">
        <v>-489.7144155</v>
      </c>
      <c r="I92" s="3" t="s">
        <v>619</v>
      </c>
      <c r="J92" s="3" t="s">
        <v>670</v>
      </c>
      <c r="K92" s="3" t="s">
        <v>671</v>
      </c>
      <c r="L92" s="3" t="s">
        <v>672</v>
      </c>
      <c r="M92" s="3">
        <v>218</v>
      </c>
      <c r="N92" s="13" t="s">
        <v>605</v>
      </c>
    </row>
    <row r="93" spans="1:14">
      <c r="A93" s="3" t="s">
        <v>741</v>
      </c>
      <c r="B93" s="3" t="s">
        <v>668</v>
      </c>
      <c r="C93" s="3" t="s">
        <v>170</v>
      </c>
      <c r="D93" s="3" t="s">
        <v>273</v>
      </c>
      <c r="E93" s="3" t="s">
        <v>669</v>
      </c>
      <c r="F93" s="3">
        <v>8</v>
      </c>
      <c r="G93" s="8">
        <v>3.284563</v>
      </c>
      <c r="H93" s="9">
        <v>480.60009182</v>
      </c>
      <c r="I93" s="3" t="s">
        <v>619</v>
      </c>
      <c r="J93" s="3" t="s">
        <v>670</v>
      </c>
      <c r="K93" s="3" t="s">
        <v>671</v>
      </c>
      <c r="L93" s="3" t="s">
        <v>672</v>
      </c>
      <c r="M93" s="3">
        <v>310</v>
      </c>
      <c r="N93" s="13" t="s">
        <v>605</v>
      </c>
    </row>
    <row r="94" spans="1:14">
      <c r="A94" s="3" t="s">
        <v>742</v>
      </c>
      <c r="B94" s="3" t="s">
        <v>668</v>
      </c>
      <c r="C94" s="3" t="s">
        <v>170</v>
      </c>
      <c r="D94" s="3" t="s">
        <v>524</v>
      </c>
      <c r="E94" s="3" t="s">
        <v>669</v>
      </c>
      <c r="F94" s="3">
        <v>6</v>
      </c>
      <c r="G94" s="8">
        <v>-8.469619999999999</v>
      </c>
      <c r="H94" s="9">
        <v>472.38901864</v>
      </c>
      <c r="I94" s="3" t="s">
        <v>619</v>
      </c>
      <c r="J94" s="3" t="s">
        <v>670</v>
      </c>
      <c r="K94" s="3" t="s">
        <v>671</v>
      </c>
      <c r="L94" s="3" t="s">
        <v>672</v>
      </c>
      <c r="M94" s="3">
        <v>60</v>
      </c>
      <c r="N94" s="13" t="s">
        <v>605</v>
      </c>
    </row>
    <row r="95" spans="1:14">
      <c r="A95" s="3" t="s">
        <v>743</v>
      </c>
      <c r="B95" s="3" t="s">
        <v>668</v>
      </c>
      <c r="C95" s="3" t="s">
        <v>168</v>
      </c>
      <c r="D95" s="3" t="s">
        <v>357</v>
      </c>
      <c r="E95" s="3" t="s">
        <v>669</v>
      </c>
      <c r="F95" s="3">
        <v>1</v>
      </c>
      <c r="G95" s="8">
        <v>-10.5</v>
      </c>
      <c r="H95" s="9">
        <v>-446.46</v>
      </c>
      <c r="I95" s="3" t="s">
        <v>619</v>
      </c>
      <c r="J95" s="3" t="s">
        <v>670</v>
      </c>
      <c r="K95" s="3" t="s">
        <v>671</v>
      </c>
      <c r="L95" s="3" t="s">
        <v>672</v>
      </c>
      <c r="M95" s="3">
        <v>226</v>
      </c>
      <c r="N95" s="13" t="s">
        <v>605</v>
      </c>
    </row>
    <row r="96" spans="1:14">
      <c r="A96" s="3" t="s">
        <v>744</v>
      </c>
      <c r="B96" s="3" t="s">
        <v>668</v>
      </c>
      <c r="C96" s="3" t="s">
        <v>170</v>
      </c>
      <c r="D96" s="3" t="s">
        <v>276</v>
      </c>
      <c r="E96" s="3" t="s">
        <v>669</v>
      </c>
      <c r="F96" s="3">
        <v>2</v>
      </c>
      <c r="G96" s="8">
        <v>0</v>
      </c>
      <c r="H96" s="9">
        <v>439.625</v>
      </c>
      <c r="I96" s="3" t="s">
        <v>619</v>
      </c>
      <c r="J96" s="3" t="s">
        <v>670</v>
      </c>
      <c r="K96" s="3" t="s">
        <v>671</v>
      </c>
      <c r="L96" s="3" t="s">
        <v>672</v>
      </c>
      <c r="M96" s="3">
        <v>307</v>
      </c>
      <c r="N96" s="13" t="s">
        <v>605</v>
      </c>
    </row>
    <row r="97" spans="1:14">
      <c r="A97" s="3" t="s">
        <v>745</v>
      </c>
      <c r="B97" s="3" t="s">
        <v>668</v>
      </c>
      <c r="C97" s="3" t="s">
        <v>168</v>
      </c>
      <c r="D97" s="3" t="s">
        <v>351</v>
      </c>
      <c r="E97" s="3" t="s">
        <v>669</v>
      </c>
      <c r="F97" s="3">
        <v>7</v>
      </c>
      <c r="G97" s="8">
        <v>-23.77215</v>
      </c>
      <c r="H97" s="9">
        <v>-422.0255850000003</v>
      </c>
      <c r="I97" s="3" t="s">
        <v>619</v>
      </c>
      <c r="J97" s="3" t="s">
        <v>670</v>
      </c>
      <c r="K97" s="3" t="s">
        <v>671</v>
      </c>
      <c r="L97" s="3" t="s">
        <v>672</v>
      </c>
      <c r="M97" s="3">
        <v>232</v>
      </c>
      <c r="N97" s="13" t="s">
        <v>605</v>
      </c>
    </row>
    <row r="98" spans="1:14">
      <c r="A98" s="3" t="s">
        <v>746</v>
      </c>
      <c r="B98" s="3" t="s">
        <v>668</v>
      </c>
      <c r="C98" s="3" t="s">
        <v>170</v>
      </c>
      <c r="D98" s="3" t="s">
        <v>664</v>
      </c>
      <c r="E98" s="3" t="s">
        <v>747</v>
      </c>
      <c r="F98" s="3">
        <v>447</v>
      </c>
      <c r="G98" s="8">
        <v>0.5311000390016084</v>
      </c>
      <c r="H98" s="9">
        <v>411.3281636313312</v>
      </c>
      <c r="I98" s="3" t="s">
        <v>619</v>
      </c>
      <c r="J98" s="3" t="s">
        <v>748</v>
      </c>
      <c r="K98" s="3" t="s">
        <v>749</v>
      </c>
      <c r="L98" s="3" t="s">
        <v>750</v>
      </c>
      <c r="M98" s="3">
        <v>152</v>
      </c>
      <c r="N98" s="13" t="s">
        <v>605</v>
      </c>
    </row>
    <row r="99" spans="1:14">
      <c r="A99" s="3" t="s">
        <v>751</v>
      </c>
      <c r="B99" s="3" t="s">
        <v>668</v>
      </c>
      <c r="C99" s="3" t="s">
        <v>169</v>
      </c>
      <c r="D99" s="3" t="s">
        <v>260</v>
      </c>
      <c r="E99" s="3" t="s">
        <v>752</v>
      </c>
      <c r="F99" s="3">
        <v>6</v>
      </c>
      <c r="G99" s="8">
        <v>14.209809</v>
      </c>
      <c r="H99" s="9">
        <v>400.6831580899998</v>
      </c>
      <c r="I99" s="3" t="s">
        <v>619</v>
      </c>
      <c r="J99" s="3" t="s">
        <v>700</v>
      </c>
      <c r="K99" s="3" t="s">
        <v>753</v>
      </c>
      <c r="L99" s="3" t="s">
        <v>754</v>
      </c>
      <c r="M99" s="3">
        <v>323</v>
      </c>
      <c r="N99" s="13" t="s">
        <v>605</v>
      </c>
    </row>
    <row r="100" spans="1:14">
      <c r="A100" s="3" t="s">
        <v>755</v>
      </c>
      <c r="B100" s="3" t="s">
        <v>668</v>
      </c>
      <c r="C100" s="3" t="s">
        <v>169</v>
      </c>
      <c r="D100" s="3" t="s">
        <v>247</v>
      </c>
      <c r="E100" s="3" t="s">
        <v>669</v>
      </c>
      <c r="F100" s="3">
        <v>5</v>
      </c>
      <c r="G100" s="8">
        <v>-25.584086</v>
      </c>
      <c r="H100" s="9">
        <v>-370.14616728</v>
      </c>
      <c r="I100" s="3" t="s">
        <v>619</v>
      </c>
      <c r="J100" s="3" t="s">
        <v>670</v>
      </c>
      <c r="K100" s="3" t="s">
        <v>671</v>
      </c>
      <c r="L100" s="3" t="s">
        <v>672</v>
      </c>
      <c r="M100" s="3">
        <v>336</v>
      </c>
      <c r="N100" s="13" t="s">
        <v>605</v>
      </c>
    </row>
    <row r="101" spans="1:14">
      <c r="A101" s="3" t="s">
        <v>756</v>
      </c>
      <c r="B101" s="3" t="s">
        <v>668</v>
      </c>
      <c r="C101" s="3" t="s">
        <v>168</v>
      </c>
      <c r="D101" s="3" t="s">
        <v>520</v>
      </c>
      <c r="E101" s="3" t="s">
        <v>669</v>
      </c>
      <c r="F101" s="3">
        <v>9</v>
      </c>
      <c r="G101" s="8">
        <v>-89.544301</v>
      </c>
      <c r="H101" s="9">
        <v>-362.82228402</v>
      </c>
      <c r="I101" s="3" t="s">
        <v>619</v>
      </c>
      <c r="J101" s="3" t="s">
        <v>670</v>
      </c>
      <c r="K101" s="3" t="s">
        <v>671</v>
      </c>
      <c r="L101" s="3" t="s">
        <v>672</v>
      </c>
      <c r="M101" s="3">
        <v>64</v>
      </c>
      <c r="N101" s="13" t="s">
        <v>605</v>
      </c>
    </row>
    <row r="102" spans="1:14">
      <c r="A102" s="3" t="s">
        <v>757</v>
      </c>
      <c r="B102" s="3" t="s">
        <v>668</v>
      </c>
      <c r="C102" s="3" t="s">
        <v>170</v>
      </c>
      <c r="D102" s="3" t="s">
        <v>289</v>
      </c>
      <c r="E102" s="3" t="s">
        <v>669</v>
      </c>
      <c r="F102" s="3">
        <v>3</v>
      </c>
      <c r="G102" s="8">
        <v>-5.330018</v>
      </c>
      <c r="H102" s="9">
        <v>-346.62390988</v>
      </c>
      <c r="I102" s="3" t="s">
        <v>619</v>
      </c>
      <c r="J102" s="3" t="s">
        <v>670</v>
      </c>
      <c r="K102" s="3" t="s">
        <v>671</v>
      </c>
      <c r="L102" s="3" t="s">
        <v>672</v>
      </c>
      <c r="M102" s="3">
        <v>294</v>
      </c>
      <c r="N102" s="13" t="s">
        <v>605</v>
      </c>
    </row>
    <row r="103" spans="1:14">
      <c r="A103" s="3" t="s">
        <v>758</v>
      </c>
      <c r="B103" s="3" t="s">
        <v>668</v>
      </c>
      <c r="C103" s="3" t="s">
        <v>169</v>
      </c>
      <c r="D103" s="3" t="s">
        <v>321</v>
      </c>
      <c r="E103" s="3" t="s">
        <v>752</v>
      </c>
      <c r="F103" s="3">
        <v>6</v>
      </c>
      <c r="G103" s="8">
        <v>-24</v>
      </c>
      <c r="H103" s="9">
        <v>337.14</v>
      </c>
      <c r="I103" s="3" t="s">
        <v>619</v>
      </c>
      <c r="J103" s="3" t="s">
        <v>700</v>
      </c>
      <c r="K103" s="3" t="s">
        <v>753</v>
      </c>
      <c r="L103" s="3" t="s">
        <v>754</v>
      </c>
      <c r="M103" s="3">
        <v>262</v>
      </c>
      <c r="N103" s="13" t="s">
        <v>605</v>
      </c>
    </row>
    <row r="104" spans="1:14">
      <c r="A104" s="3" t="s">
        <v>759</v>
      </c>
      <c r="B104" s="3" t="s">
        <v>668</v>
      </c>
      <c r="C104" s="3" t="s">
        <v>170</v>
      </c>
      <c r="D104" s="3" t="s">
        <v>572</v>
      </c>
      <c r="E104" s="3" t="s">
        <v>669</v>
      </c>
      <c r="F104" s="3">
        <v>1</v>
      </c>
      <c r="G104" s="8">
        <v>-2.5</v>
      </c>
      <c r="H104" s="9">
        <v>-333.15</v>
      </c>
      <c r="I104" s="3" t="s">
        <v>619</v>
      </c>
      <c r="J104" s="3" t="s">
        <v>670</v>
      </c>
      <c r="K104" s="3" t="s">
        <v>671</v>
      </c>
      <c r="L104" s="3" t="s">
        <v>672</v>
      </c>
      <c r="M104" s="3">
        <v>12</v>
      </c>
      <c r="N104" s="13" t="s">
        <v>605</v>
      </c>
    </row>
    <row r="105" spans="1:14">
      <c r="A105" s="3" t="s">
        <v>760</v>
      </c>
      <c r="B105" s="3" t="s">
        <v>668</v>
      </c>
      <c r="C105" s="3" t="s">
        <v>170</v>
      </c>
      <c r="D105" s="3" t="s">
        <v>469</v>
      </c>
      <c r="E105" s="3" t="s">
        <v>669</v>
      </c>
      <c r="F105" s="3">
        <v>4</v>
      </c>
      <c r="G105" s="8">
        <v>-8.160036</v>
      </c>
      <c r="H105" s="9">
        <v>280.8922186</v>
      </c>
      <c r="I105" s="3" t="s">
        <v>619</v>
      </c>
      <c r="J105" s="3" t="s">
        <v>670</v>
      </c>
      <c r="K105" s="3" t="s">
        <v>671</v>
      </c>
      <c r="L105" s="3" t="s">
        <v>672</v>
      </c>
      <c r="M105" s="3">
        <v>115</v>
      </c>
      <c r="N105" s="13" t="s">
        <v>605</v>
      </c>
    </row>
    <row r="106" spans="1:14">
      <c r="A106" s="3" t="s">
        <v>761</v>
      </c>
      <c r="B106" s="3" t="s">
        <v>668</v>
      </c>
      <c r="C106" s="3" t="s">
        <v>170</v>
      </c>
      <c r="D106" s="3" t="s">
        <v>658</v>
      </c>
      <c r="E106" s="3" t="s">
        <v>747</v>
      </c>
      <c r="F106" s="3">
        <v>452</v>
      </c>
      <c r="G106" s="8">
        <v>0.680459206683211</v>
      </c>
      <c r="H106" s="9">
        <v>249.877552076876</v>
      </c>
      <c r="I106" s="3" t="s">
        <v>619</v>
      </c>
      <c r="J106" s="3" t="s">
        <v>748</v>
      </c>
      <c r="K106" s="3" t="s">
        <v>749</v>
      </c>
      <c r="L106" s="3" t="s">
        <v>750</v>
      </c>
      <c r="M106" s="3">
        <v>182</v>
      </c>
      <c r="N106" s="13" t="s">
        <v>605</v>
      </c>
    </row>
    <row r="107" spans="1:14">
      <c r="A107" s="3" t="s">
        <v>762</v>
      </c>
      <c r="B107" s="3" t="s">
        <v>668</v>
      </c>
      <c r="C107" s="3" t="s">
        <v>169</v>
      </c>
      <c r="D107" s="3" t="s">
        <v>252</v>
      </c>
      <c r="E107" s="3" t="s">
        <v>669</v>
      </c>
      <c r="F107" s="3">
        <v>2</v>
      </c>
      <c r="G107" s="8">
        <v>2.831828</v>
      </c>
      <c r="H107" s="9">
        <v>242.05313868</v>
      </c>
      <c r="I107" s="3" t="s">
        <v>619</v>
      </c>
      <c r="J107" s="3" t="s">
        <v>670</v>
      </c>
      <c r="K107" s="3" t="s">
        <v>671</v>
      </c>
      <c r="L107" s="3" t="s">
        <v>672</v>
      </c>
      <c r="M107" s="3">
        <v>331</v>
      </c>
      <c r="N107" s="13" t="s">
        <v>605</v>
      </c>
    </row>
    <row r="108" spans="1:14">
      <c r="A108" s="3" t="s">
        <v>763</v>
      </c>
      <c r="B108" s="3" t="s">
        <v>668</v>
      </c>
      <c r="C108" s="3" t="s">
        <v>170</v>
      </c>
      <c r="D108" s="3" t="s">
        <v>666</v>
      </c>
      <c r="E108" s="3" t="s">
        <v>747</v>
      </c>
      <c r="F108" s="3">
        <v>471</v>
      </c>
      <c r="G108" s="8">
        <v>0.8369799219956999</v>
      </c>
      <c r="H108" s="9">
        <v>214.2103793373158</v>
      </c>
      <c r="I108" s="3" t="s">
        <v>619</v>
      </c>
      <c r="J108" s="3" t="s">
        <v>748</v>
      </c>
      <c r="K108" s="3" t="s">
        <v>749</v>
      </c>
      <c r="L108" s="3" t="s">
        <v>750</v>
      </c>
      <c r="M108" s="3">
        <v>364</v>
      </c>
      <c r="N108" s="13" t="s">
        <v>605</v>
      </c>
    </row>
    <row r="109" spans="1:14">
      <c r="A109" s="3" t="s">
        <v>764</v>
      </c>
      <c r="B109" s="3" t="s">
        <v>668</v>
      </c>
      <c r="C109" s="3" t="s">
        <v>170</v>
      </c>
      <c r="D109" s="3" t="s">
        <v>580</v>
      </c>
      <c r="E109" s="3" t="s">
        <v>669</v>
      </c>
      <c r="F109" s="3">
        <v>1</v>
      </c>
      <c r="G109" s="8">
        <v>2.190416</v>
      </c>
      <c r="H109" s="9">
        <v>208.79045312</v>
      </c>
      <c r="I109" s="3" t="s">
        <v>619</v>
      </c>
      <c r="J109" s="3" t="s">
        <v>670</v>
      </c>
      <c r="K109" s="3" t="s">
        <v>671</v>
      </c>
      <c r="L109" s="3" t="s">
        <v>672</v>
      </c>
      <c r="M109" s="3">
        <v>4</v>
      </c>
      <c r="N109" s="13" t="s">
        <v>605</v>
      </c>
    </row>
    <row r="110" spans="1:14">
      <c r="A110" s="3" t="s">
        <v>765</v>
      </c>
      <c r="B110" s="3" t="s">
        <v>668</v>
      </c>
      <c r="C110" s="3" t="s">
        <v>169</v>
      </c>
      <c r="D110" s="3" t="s">
        <v>448</v>
      </c>
      <c r="E110" s="3" t="s">
        <v>752</v>
      </c>
      <c r="F110" s="3">
        <v>6</v>
      </c>
      <c r="G110" s="8">
        <v>-21.888172</v>
      </c>
      <c r="H110" s="9">
        <v>200.87440856</v>
      </c>
      <c r="I110" s="3" t="s">
        <v>619</v>
      </c>
      <c r="J110" s="3" t="s">
        <v>700</v>
      </c>
      <c r="K110" s="3" t="s">
        <v>753</v>
      </c>
      <c r="L110" s="3" t="s">
        <v>754</v>
      </c>
      <c r="M110" s="3">
        <v>136</v>
      </c>
      <c r="N110" s="13" t="s">
        <v>605</v>
      </c>
    </row>
    <row r="111" spans="1:14">
      <c r="A111" s="3" t="s">
        <v>766</v>
      </c>
      <c r="B111" s="3" t="s">
        <v>668</v>
      </c>
      <c r="C111" s="3" t="s">
        <v>170</v>
      </c>
      <c r="D111" s="3" t="s">
        <v>369</v>
      </c>
      <c r="E111" s="3" t="s">
        <v>669</v>
      </c>
      <c r="F111" s="3">
        <v>4</v>
      </c>
      <c r="G111" s="8">
        <v>-3.449186</v>
      </c>
      <c r="H111" s="9">
        <v>-180.7531181</v>
      </c>
      <c r="I111" s="3" t="s">
        <v>619</v>
      </c>
      <c r="J111" s="3" t="s">
        <v>670</v>
      </c>
      <c r="K111" s="3" t="s">
        <v>671</v>
      </c>
      <c r="L111" s="3" t="s">
        <v>672</v>
      </c>
      <c r="M111" s="3">
        <v>214</v>
      </c>
      <c r="N111" s="13" t="s">
        <v>605</v>
      </c>
    </row>
    <row r="112" spans="1:14">
      <c r="A112" s="3" t="s">
        <v>767</v>
      </c>
      <c r="B112" s="3" t="s">
        <v>668</v>
      </c>
      <c r="C112" s="3" t="s">
        <v>169</v>
      </c>
      <c r="D112" s="3" t="s">
        <v>574</v>
      </c>
      <c r="E112" s="3" t="s">
        <v>669</v>
      </c>
      <c r="F112" s="3">
        <v>3</v>
      </c>
      <c r="G112" s="8">
        <v>10.311359</v>
      </c>
      <c r="H112" s="9">
        <v>171.02990833</v>
      </c>
      <c r="I112" s="3" t="s">
        <v>619</v>
      </c>
      <c r="J112" s="3" t="s">
        <v>670</v>
      </c>
      <c r="K112" s="3" t="s">
        <v>671</v>
      </c>
      <c r="L112" s="3" t="s">
        <v>672</v>
      </c>
      <c r="M112" s="3">
        <v>10</v>
      </c>
      <c r="N112" s="13" t="s">
        <v>605</v>
      </c>
    </row>
    <row r="113" spans="1:14">
      <c r="A113" s="3" t="s">
        <v>768</v>
      </c>
      <c r="B113" s="3" t="s">
        <v>668</v>
      </c>
      <c r="C113" s="3" t="s">
        <v>170</v>
      </c>
      <c r="D113" s="3" t="s">
        <v>579</v>
      </c>
      <c r="E113" s="3" t="s">
        <v>669</v>
      </c>
      <c r="F113" s="3">
        <v>4</v>
      </c>
      <c r="G113" s="8">
        <v>-0.9095839999999997</v>
      </c>
      <c r="H113" s="9">
        <v>154.17866272</v>
      </c>
      <c r="I113" s="3" t="s">
        <v>619</v>
      </c>
      <c r="J113" s="3" t="s">
        <v>670</v>
      </c>
      <c r="K113" s="3" t="s">
        <v>671</v>
      </c>
      <c r="L113" s="3" t="s">
        <v>672</v>
      </c>
      <c r="M113" s="3">
        <v>5</v>
      </c>
      <c r="N113" s="13" t="s">
        <v>605</v>
      </c>
    </row>
    <row r="114" spans="1:14">
      <c r="A114" s="3" t="s">
        <v>769</v>
      </c>
      <c r="B114" s="3" t="s">
        <v>668</v>
      </c>
      <c r="C114" s="3" t="s">
        <v>170</v>
      </c>
      <c r="D114" s="3" t="s">
        <v>296</v>
      </c>
      <c r="E114" s="3" t="s">
        <v>669</v>
      </c>
      <c r="F114" s="3">
        <v>9</v>
      </c>
      <c r="G114" s="8">
        <v>-6.096268999999999</v>
      </c>
      <c r="H114" s="9">
        <v>-147.45244341</v>
      </c>
      <c r="I114" s="3" t="s">
        <v>619</v>
      </c>
      <c r="J114" s="3" t="s">
        <v>670</v>
      </c>
      <c r="K114" s="3" t="s">
        <v>671</v>
      </c>
      <c r="L114" s="3" t="s">
        <v>672</v>
      </c>
      <c r="M114" s="3">
        <v>287</v>
      </c>
      <c r="N114" s="13" t="s">
        <v>605</v>
      </c>
    </row>
    <row r="115" spans="1:14">
      <c r="A115" s="3" t="s">
        <v>770</v>
      </c>
      <c r="B115" s="3" t="s">
        <v>668</v>
      </c>
      <c r="C115" s="3" t="s">
        <v>170</v>
      </c>
      <c r="D115" s="3" t="s">
        <v>479</v>
      </c>
      <c r="E115" s="3" t="s">
        <v>669</v>
      </c>
      <c r="F115" s="3">
        <v>1</v>
      </c>
      <c r="G115" s="8">
        <v>-1.055401</v>
      </c>
      <c r="H115" s="9">
        <v>-141.67703024</v>
      </c>
      <c r="I115" s="3" t="s">
        <v>619</v>
      </c>
      <c r="J115" s="3" t="s">
        <v>670</v>
      </c>
      <c r="K115" s="3" t="s">
        <v>671</v>
      </c>
      <c r="L115" s="3" t="s">
        <v>672</v>
      </c>
      <c r="M115" s="3">
        <v>105</v>
      </c>
      <c r="N115" s="13" t="s">
        <v>605</v>
      </c>
    </row>
    <row r="116" spans="1:14">
      <c r="A116" s="3" t="s">
        <v>771</v>
      </c>
      <c r="B116" s="3" t="s">
        <v>668</v>
      </c>
      <c r="C116" s="3" t="s">
        <v>170</v>
      </c>
      <c r="D116" s="3" t="s">
        <v>500</v>
      </c>
      <c r="E116" s="3" t="s">
        <v>669</v>
      </c>
      <c r="F116" s="3">
        <v>5</v>
      </c>
      <c r="G116" s="8">
        <v>-10.660036</v>
      </c>
      <c r="H116" s="9">
        <v>-140.70944732</v>
      </c>
      <c r="I116" s="3" t="s">
        <v>619</v>
      </c>
      <c r="J116" s="3" t="s">
        <v>670</v>
      </c>
      <c r="K116" s="3" t="s">
        <v>671</v>
      </c>
      <c r="L116" s="3" t="s">
        <v>672</v>
      </c>
      <c r="M116" s="3">
        <v>84</v>
      </c>
      <c r="N116" s="13" t="s">
        <v>605</v>
      </c>
    </row>
    <row r="117" spans="1:14">
      <c r="A117" s="3" t="s">
        <v>772</v>
      </c>
      <c r="B117" s="3" t="s">
        <v>668</v>
      </c>
      <c r="C117" s="3" t="s">
        <v>170</v>
      </c>
      <c r="D117" s="3" t="s">
        <v>648</v>
      </c>
      <c r="E117" s="3" t="s">
        <v>747</v>
      </c>
      <c r="F117" s="3">
        <v>410</v>
      </c>
      <c r="G117" s="8">
        <v>-0.2834740802691868</v>
      </c>
      <c r="H117" s="9">
        <v>139.8196691512515</v>
      </c>
      <c r="I117" s="3" t="s">
        <v>619</v>
      </c>
      <c r="J117" s="3" t="s">
        <v>748</v>
      </c>
      <c r="K117" s="3" t="s">
        <v>749</v>
      </c>
      <c r="L117" s="3" t="s">
        <v>750</v>
      </c>
      <c r="M117" s="3">
        <v>91</v>
      </c>
      <c r="N117" s="13" t="s">
        <v>605</v>
      </c>
    </row>
    <row r="118" spans="1:14">
      <c r="A118" s="3" t="s">
        <v>773</v>
      </c>
      <c r="B118" s="3" t="s">
        <v>668</v>
      </c>
      <c r="C118" s="3" t="s">
        <v>170</v>
      </c>
      <c r="D118" s="3" t="s">
        <v>640</v>
      </c>
      <c r="E118" s="3" t="s">
        <v>747</v>
      </c>
      <c r="F118" s="3">
        <v>437</v>
      </c>
      <c r="G118" s="8">
        <v>-0.7648901819867582</v>
      </c>
      <c r="H118" s="9">
        <v>137.519697417122</v>
      </c>
      <c r="I118" s="3" t="s">
        <v>619</v>
      </c>
      <c r="J118" s="3" t="s">
        <v>748</v>
      </c>
      <c r="K118" s="3" t="s">
        <v>749</v>
      </c>
      <c r="L118" s="3" t="s">
        <v>750</v>
      </c>
      <c r="M118" s="3">
        <v>121</v>
      </c>
      <c r="N118" s="13" t="s">
        <v>605</v>
      </c>
    </row>
    <row r="119" spans="1:14">
      <c r="A119" s="3" t="s">
        <v>774</v>
      </c>
      <c r="B119" s="3" t="s">
        <v>668</v>
      </c>
      <c r="C119" s="3" t="s">
        <v>170</v>
      </c>
      <c r="D119" s="3" t="s">
        <v>650</v>
      </c>
      <c r="E119" s="3" t="s">
        <v>747</v>
      </c>
      <c r="F119" s="3">
        <v>480</v>
      </c>
      <c r="G119" s="8">
        <v>-0.6064685356303492</v>
      </c>
      <c r="H119" s="9">
        <v>136.7175244672651</v>
      </c>
      <c r="I119" s="3" t="s">
        <v>619</v>
      </c>
      <c r="J119" s="3" t="s">
        <v>748</v>
      </c>
      <c r="K119" s="3" t="s">
        <v>749</v>
      </c>
      <c r="L119" s="3" t="s">
        <v>750</v>
      </c>
      <c r="M119" s="3">
        <v>212</v>
      </c>
      <c r="N119" s="13" t="s">
        <v>605</v>
      </c>
    </row>
    <row r="120" spans="1:14">
      <c r="A120" s="3" t="s">
        <v>775</v>
      </c>
      <c r="B120" s="3" t="s">
        <v>668</v>
      </c>
      <c r="C120" s="3" t="s">
        <v>169</v>
      </c>
      <c r="D120" s="3" t="s">
        <v>286</v>
      </c>
      <c r="E120" s="3" t="s">
        <v>669</v>
      </c>
      <c r="F120" s="3">
        <v>1</v>
      </c>
      <c r="G120" s="8">
        <v>3.027991</v>
      </c>
      <c r="H120" s="9">
        <v>132.74712544</v>
      </c>
      <c r="I120" s="3" t="s">
        <v>619</v>
      </c>
      <c r="J120" s="3" t="s">
        <v>670</v>
      </c>
      <c r="K120" s="3" t="s">
        <v>671</v>
      </c>
      <c r="L120" s="3" t="s">
        <v>672</v>
      </c>
      <c r="M120" s="3">
        <v>297</v>
      </c>
      <c r="N120" s="13" t="s">
        <v>605</v>
      </c>
    </row>
    <row r="121" spans="1:14">
      <c r="A121" s="3" t="s">
        <v>776</v>
      </c>
      <c r="B121" s="3" t="s">
        <v>668</v>
      </c>
      <c r="C121" s="3" t="s">
        <v>170</v>
      </c>
      <c r="D121" s="3" t="s">
        <v>646</v>
      </c>
      <c r="E121" s="3" t="s">
        <v>747</v>
      </c>
      <c r="F121" s="3">
        <v>425</v>
      </c>
      <c r="G121" s="8">
        <v>-0.8042199736933285</v>
      </c>
      <c r="H121" s="9">
        <v>131.3432026533595</v>
      </c>
      <c r="I121" s="3" t="s">
        <v>619</v>
      </c>
      <c r="J121" s="3" t="s">
        <v>748</v>
      </c>
      <c r="K121" s="3" t="s">
        <v>749</v>
      </c>
      <c r="L121" s="3" t="s">
        <v>750</v>
      </c>
      <c r="M121" s="3">
        <v>29</v>
      </c>
      <c r="N121" s="13" t="s">
        <v>605</v>
      </c>
    </row>
    <row r="122" spans="1:14">
      <c r="A122" s="3" t="s">
        <v>777</v>
      </c>
      <c r="B122" s="3" t="s">
        <v>668</v>
      </c>
      <c r="C122" s="3" t="s">
        <v>170</v>
      </c>
      <c r="D122" s="3" t="s">
        <v>379</v>
      </c>
      <c r="E122" s="3" t="s">
        <v>669</v>
      </c>
      <c r="F122" s="3">
        <v>1</v>
      </c>
      <c r="G122" s="8">
        <v>-1.055401</v>
      </c>
      <c r="H122" s="9">
        <v>-114.83818281</v>
      </c>
      <c r="I122" s="3" t="s">
        <v>619</v>
      </c>
      <c r="J122" s="3" t="s">
        <v>670</v>
      </c>
      <c r="K122" s="3" t="s">
        <v>671</v>
      </c>
      <c r="L122" s="3" t="s">
        <v>672</v>
      </c>
      <c r="M122" s="3">
        <v>204</v>
      </c>
      <c r="N122" s="13" t="s">
        <v>605</v>
      </c>
    </row>
    <row r="123" spans="1:14">
      <c r="A123" s="3" t="s">
        <v>778</v>
      </c>
      <c r="B123" s="3" t="s">
        <v>668</v>
      </c>
      <c r="C123" s="3" t="s">
        <v>169</v>
      </c>
      <c r="D123" s="3" t="s">
        <v>429</v>
      </c>
      <c r="E123" s="3" t="s">
        <v>752</v>
      </c>
      <c r="F123" s="3">
        <v>6</v>
      </c>
      <c r="G123" s="8">
        <v>-36</v>
      </c>
      <c r="H123" s="9">
        <v>100.26</v>
      </c>
      <c r="I123" s="3" t="s">
        <v>619</v>
      </c>
      <c r="J123" s="3" t="s">
        <v>700</v>
      </c>
      <c r="K123" s="3" t="s">
        <v>753</v>
      </c>
      <c r="L123" s="3" t="s">
        <v>754</v>
      </c>
      <c r="M123" s="3">
        <v>155</v>
      </c>
      <c r="N123" s="13" t="s">
        <v>605</v>
      </c>
    </row>
    <row r="124" spans="1:14">
      <c r="A124" s="3" t="s">
        <v>779</v>
      </c>
      <c r="B124" s="3" t="s">
        <v>668</v>
      </c>
      <c r="C124" s="3" t="s">
        <v>170</v>
      </c>
      <c r="D124" s="3" t="s">
        <v>652</v>
      </c>
      <c r="E124" s="3" t="s">
        <v>747</v>
      </c>
      <c r="F124" s="3">
        <v>378</v>
      </c>
      <c r="G124" s="8">
        <v>0.3385270265467354</v>
      </c>
      <c r="H124" s="9">
        <v>71.96046316503759</v>
      </c>
      <c r="I124" s="3" t="s">
        <v>642</v>
      </c>
      <c r="J124" s="3" t="s">
        <v>748</v>
      </c>
      <c r="K124" s="3" t="s">
        <v>749</v>
      </c>
      <c r="L124" s="3" t="s">
        <v>750</v>
      </c>
      <c r="M124" s="3">
        <v>271</v>
      </c>
      <c r="N124" s="13" t="s">
        <v>605</v>
      </c>
    </row>
    <row r="125" spans="1:14">
      <c r="A125" s="3" t="s">
        <v>780</v>
      </c>
      <c r="B125" s="3" t="s">
        <v>668</v>
      </c>
      <c r="C125" s="3" t="s">
        <v>170</v>
      </c>
      <c r="D125" s="3" t="s">
        <v>660</v>
      </c>
      <c r="E125" s="3" t="s">
        <v>747</v>
      </c>
      <c r="F125" s="3">
        <v>417</v>
      </c>
      <c r="G125" s="8">
        <v>-0.444036151948199</v>
      </c>
      <c r="H125" s="9">
        <v>-64.55852324553851</v>
      </c>
      <c r="I125" s="3" t="s">
        <v>642</v>
      </c>
      <c r="J125" s="3" t="s">
        <v>748</v>
      </c>
      <c r="K125" s="3" t="s">
        <v>749</v>
      </c>
      <c r="L125" s="3" t="s">
        <v>750</v>
      </c>
      <c r="M125" s="3">
        <v>332</v>
      </c>
      <c r="N125" s="13" t="s">
        <v>605</v>
      </c>
    </row>
    <row r="126" spans="1:14">
      <c r="A126" s="3" t="s">
        <v>781</v>
      </c>
      <c r="B126" s="3" t="s">
        <v>668</v>
      </c>
      <c r="C126" s="3" t="s">
        <v>170</v>
      </c>
      <c r="D126" s="3" t="s">
        <v>231</v>
      </c>
      <c r="E126" s="3" t="s">
        <v>669</v>
      </c>
      <c r="F126" s="3">
        <v>9</v>
      </c>
      <c r="G126" s="8">
        <v>-5.660036</v>
      </c>
      <c r="H126" s="9">
        <v>-64.09655516000002</v>
      </c>
      <c r="I126" s="3" t="s">
        <v>642</v>
      </c>
      <c r="J126" s="3" t="s">
        <v>670</v>
      </c>
      <c r="K126" s="3" t="s">
        <v>671</v>
      </c>
      <c r="L126" s="3" t="s">
        <v>672</v>
      </c>
      <c r="M126" s="3">
        <v>353</v>
      </c>
      <c r="N126" s="13" t="s">
        <v>605</v>
      </c>
    </row>
    <row r="127" spans="1:14">
      <c r="A127" s="3" t="s">
        <v>782</v>
      </c>
      <c r="B127" s="3" t="s">
        <v>668</v>
      </c>
      <c r="C127" s="3" t="s">
        <v>170</v>
      </c>
      <c r="D127" s="3" t="s">
        <v>452</v>
      </c>
      <c r="E127" s="3" t="s">
        <v>669</v>
      </c>
      <c r="F127" s="3">
        <v>4</v>
      </c>
      <c r="G127" s="8">
        <v>-5.880832</v>
      </c>
      <c r="H127" s="9">
        <v>63.27581535999998</v>
      </c>
      <c r="I127" s="3" t="s">
        <v>642</v>
      </c>
      <c r="J127" s="3" t="s">
        <v>670</v>
      </c>
      <c r="K127" s="3" t="s">
        <v>671</v>
      </c>
      <c r="L127" s="3" t="s">
        <v>672</v>
      </c>
      <c r="M127" s="3">
        <v>132</v>
      </c>
      <c r="N127" s="13" t="s">
        <v>605</v>
      </c>
    </row>
    <row r="128" spans="1:14">
      <c r="A128" s="3" t="s">
        <v>783</v>
      </c>
      <c r="B128" s="3" t="s">
        <v>668</v>
      </c>
      <c r="C128" s="3" t="s">
        <v>170</v>
      </c>
      <c r="D128" s="3" t="s">
        <v>662</v>
      </c>
      <c r="E128" s="3" t="s">
        <v>747</v>
      </c>
      <c r="F128" s="3">
        <v>393</v>
      </c>
      <c r="G128" s="8">
        <v>-0.3816327848065525</v>
      </c>
      <c r="H128" s="9">
        <v>39.20929113823176</v>
      </c>
      <c r="I128" s="3" t="s">
        <v>642</v>
      </c>
      <c r="J128" s="3" t="s">
        <v>748</v>
      </c>
      <c r="K128" s="3" t="s">
        <v>749</v>
      </c>
      <c r="L128" s="3" t="s">
        <v>750</v>
      </c>
      <c r="M128" s="3">
        <v>240</v>
      </c>
      <c r="N128" s="13" t="s">
        <v>605</v>
      </c>
    </row>
    <row r="129" spans="1:14">
      <c r="A129" s="3" t="s">
        <v>784</v>
      </c>
      <c r="B129" s="3" t="s">
        <v>668</v>
      </c>
      <c r="C129" s="3" t="s">
        <v>170</v>
      </c>
      <c r="D129" s="3" t="s">
        <v>654</v>
      </c>
      <c r="E129" s="3" t="s">
        <v>747</v>
      </c>
      <c r="F129" s="3">
        <v>365</v>
      </c>
      <c r="G129" s="8">
        <v>-0.1395001899125853</v>
      </c>
      <c r="H129" s="9">
        <v>24.58334424394975</v>
      </c>
      <c r="I129" s="3" t="s">
        <v>642</v>
      </c>
      <c r="J129" s="3" t="s">
        <v>748</v>
      </c>
      <c r="K129" s="3" t="s">
        <v>749</v>
      </c>
      <c r="L129" s="3" t="s">
        <v>750</v>
      </c>
      <c r="M129" s="3">
        <v>302</v>
      </c>
      <c r="N129" s="13" t="s">
        <v>605</v>
      </c>
    </row>
    <row r="130" spans="1:14">
      <c r="A130" s="3" t="s">
        <v>785</v>
      </c>
      <c r="B130" s="3" t="s">
        <v>668</v>
      </c>
      <c r="C130" s="3" t="s">
        <v>170</v>
      </c>
      <c r="D130" s="3" t="s">
        <v>405</v>
      </c>
      <c r="E130" s="3" t="s">
        <v>669</v>
      </c>
      <c r="F130" s="3">
        <v>5</v>
      </c>
      <c r="G130" s="8">
        <v>-10.660036</v>
      </c>
      <c r="H130" s="9">
        <v>-16.3761746</v>
      </c>
      <c r="I130" s="3" t="s">
        <v>642</v>
      </c>
      <c r="J130" s="3" t="s">
        <v>670</v>
      </c>
      <c r="K130" s="3" t="s">
        <v>671</v>
      </c>
      <c r="L130" s="3" t="s">
        <v>672</v>
      </c>
      <c r="M130" s="3">
        <v>179</v>
      </c>
      <c r="N130" s="13" t="s">
        <v>605</v>
      </c>
    </row>
    <row r="131" spans="1:14">
      <c r="A131" s="3" t="s">
        <v>786</v>
      </c>
      <c r="B131" s="3" t="s">
        <v>668</v>
      </c>
      <c r="C131" s="3" t="s">
        <v>169</v>
      </c>
      <c r="D131" s="3" t="s">
        <v>286</v>
      </c>
      <c r="E131" s="3" t="s">
        <v>699</v>
      </c>
      <c r="F131" s="3">
        <v>1</v>
      </c>
      <c r="G131" s="8">
        <v>6</v>
      </c>
      <c r="H131" s="9">
        <v>16.20000000000002</v>
      </c>
      <c r="I131" s="3" t="s">
        <v>642</v>
      </c>
      <c r="J131" s="3" t="s">
        <v>700</v>
      </c>
      <c r="K131" s="3" t="s">
        <v>701</v>
      </c>
      <c r="L131" s="3" t="s">
        <v>702</v>
      </c>
      <c r="M131" s="3">
        <v>297</v>
      </c>
      <c r="N131" s="13" t="s">
        <v>605</v>
      </c>
    </row>
    <row r="132" spans="1:14">
      <c r="A132" s="3" t="s">
        <v>787</v>
      </c>
      <c r="B132" s="3" t="s">
        <v>668</v>
      </c>
      <c r="C132" s="3" t="s">
        <v>170</v>
      </c>
      <c r="D132" s="3" t="s">
        <v>462</v>
      </c>
      <c r="E132" s="3" t="s">
        <v>669</v>
      </c>
      <c r="F132" s="3">
        <v>7</v>
      </c>
      <c r="G132" s="8">
        <v>-10.960036</v>
      </c>
      <c r="H132" s="9">
        <v>11.73845004000003</v>
      </c>
      <c r="I132" s="3" t="s">
        <v>642</v>
      </c>
      <c r="J132" s="3" t="s">
        <v>670</v>
      </c>
      <c r="K132" s="3" t="s">
        <v>671</v>
      </c>
      <c r="L132" s="3" t="s">
        <v>672</v>
      </c>
      <c r="M132" s="3">
        <v>122</v>
      </c>
      <c r="N132" s="13" t="s">
        <v>605</v>
      </c>
    </row>
    <row r="133" spans="1:14">
      <c r="A133" s="3" t="s">
        <v>788</v>
      </c>
      <c r="B133" s="3" t="s">
        <v>668</v>
      </c>
      <c r="C133" s="3" t="s">
        <v>170</v>
      </c>
      <c r="D133" s="3" t="s">
        <v>656</v>
      </c>
      <c r="E133" s="3" t="s">
        <v>747</v>
      </c>
      <c r="F133" s="3">
        <v>419</v>
      </c>
      <c r="G133" s="8">
        <v>-0.8110051648337505</v>
      </c>
      <c r="H133" s="9">
        <v>1.791981315742876</v>
      </c>
      <c r="I133" s="3" t="s">
        <v>642</v>
      </c>
      <c r="J133" s="3" t="s">
        <v>748</v>
      </c>
      <c r="K133" s="3" t="s">
        <v>749</v>
      </c>
      <c r="L133" s="3" t="s">
        <v>750</v>
      </c>
      <c r="M133" s="3">
        <v>60</v>
      </c>
      <c r="N133" s="13" t="s">
        <v>605</v>
      </c>
    </row>
    <row r="134" spans="1:14">
      <c r="A134" s="3" t="s">
        <v>789</v>
      </c>
      <c r="B134" s="3" t="s">
        <v>668</v>
      </c>
      <c r="C134" s="3" t="s">
        <v>170</v>
      </c>
      <c r="D134" s="3" t="s">
        <v>252</v>
      </c>
      <c r="E134" s="3" t="s">
        <v>669</v>
      </c>
      <c r="F134" s="3">
        <v>2</v>
      </c>
      <c r="G134" s="8">
        <v>-0.1662509999999999</v>
      </c>
      <c r="H134" s="9">
        <v>-0.4400562199999882</v>
      </c>
      <c r="I134" s="3" t="s">
        <v>642</v>
      </c>
      <c r="J134" s="3" t="s">
        <v>670</v>
      </c>
      <c r="K134" s="3" t="s">
        <v>671</v>
      </c>
      <c r="L134" s="3" t="s">
        <v>672</v>
      </c>
      <c r="M134" s="3">
        <v>331</v>
      </c>
      <c r="N134" s="13" t="s">
        <v>605</v>
      </c>
    </row>
  </sheetData>
  <autoFilter ref="A3:N134"/>
  <dataValidations count="1">
    <dataValidation type="list" allowBlank="1" showInputMessage="1" showErrorMessage="1" sqref="N4:N134">
      <formula1>"open,in progress,resolved,accepted"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cols>
    <col min="1" max="1" width="40.7109375" customWidth="1"/>
    <col min="2" max="8" width="15.7109375" customWidth="1"/>
  </cols>
  <sheetData>
    <row r="1" spans="1:4">
      <c r="A1" s="1" t="s">
        <v>790</v>
      </c>
    </row>
    <row r="3" spans="1:4">
      <c r="A3" s="5" t="s">
        <v>791</v>
      </c>
    </row>
    <row r="4" spans="1:4">
      <c r="A4" s="2" t="s">
        <v>22</v>
      </c>
      <c r="B4" s="2" t="s">
        <v>792</v>
      </c>
      <c r="C4" s="2" t="s">
        <v>793</v>
      </c>
      <c r="D4" s="2" t="s">
        <v>794</v>
      </c>
    </row>
    <row r="5" spans="1:4">
      <c r="A5" s="3">
        <v>1</v>
      </c>
      <c r="B5" s="3">
        <v>21</v>
      </c>
      <c r="C5" s="3">
        <v>32.7</v>
      </c>
      <c r="D5" s="3">
        <v>-10.2</v>
      </c>
    </row>
    <row r="6" spans="1:4">
      <c r="A6" s="3">
        <v>2</v>
      </c>
      <c r="B6" s="3">
        <v>20</v>
      </c>
      <c r="C6" s="3">
        <v>34.9</v>
      </c>
      <c r="D6" s="3">
        <v>-11.2</v>
      </c>
    </row>
    <row r="7" spans="1:4">
      <c r="A7" s="3">
        <v>3</v>
      </c>
      <c r="B7" s="3">
        <v>19</v>
      </c>
      <c r="C7" s="3">
        <v>37.1</v>
      </c>
      <c r="D7" s="3">
        <v>-12.4</v>
      </c>
    </row>
    <row r="8" spans="1:4">
      <c r="A8" s="3">
        <v>4</v>
      </c>
      <c r="B8" s="3">
        <v>18</v>
      </c>
      <c r="C8" s="3">
        <v>38.7</v>
      </c>
      <c r="D8" s="3">
        <v>-12.7</v>
      </c>
    </row>
    <row r="9" spans="1:4">
      <c r="A9" s="3">
        <v>5</v>
      </c>
      <c r="B9" s="3">
        <v>17</v>
      </c>
      <c r="C9" s="3">
        <v>39.6</v>
      </c>
      <c r="D9" s="3">
        <v>-12.4</v>
      </c>
    </row>
    <row r="10" spans="1:4">
      <c r="A10" s="3">
        <v>6</v>
      </c>
      <c r="B10" s="3">
        <v>16</v>
      </c>
      <c r="C10" s="3">
        <v>40.4</v>
      </c>
      <c r="D10" s="3">
        <v>-11.9</v>
      </c>
    </row>
    <row r="11" spans="1:4">
      <c r="A11" s="3">
        <v>7</v>
      </c>
      <c r="B11" s="3">
        <v>15</v>
      </c>
      <c r="C11" s="3">
        <v>40.6</v>
      </c>
      <c r="D11" s="3">
        <v>-10.8</v>
      </c>
    </row>
    <row r="12" spans="1:4">
      <c r="A12" s="3">
        <v>8</v>
      </c>
      <c r="B12" s="3">
        <v>14</v>
      </c>
      <c r="C12" s="3">
        <v>41.1</v>
      </c>
      <c r="D12" s="3">
        <v>-11</v>
      </c>
    </row>
    <row r="13" spans="1:4">
      <c r="A13" s="3">
        <v>9</v>
      </c>
      <c r="B13" s="3">
        <v>13</v>
      </c>
      <c r="C13" s="3">
        <v>41.7</v>
      </c>
      <c r="D13" s="3">
        <v>-11</v>
      </c>
    </row>
    <row r="14" spans="1:4">
      <c r="A14" s="3">
        <v>10</v>
      </c>
      <c r="B14" s="3">
        <v>12</v>
      </c>
      <c r="C14" s="3">
        <v>41.8</v>
      </c>
      <c r="D14" s="3">
        <v>-10.6</v>
      </c>
    </row>
    <row r="15" spans="1:4">
      <c r="A15" s="3">
        <v>11</v>
      </c>
      <c r="B15" s="3">
        <v>11</v>
      </c>
      <c r="C15" s="3">
        <v>43.8</v>
      </c>
      <c r="D15" s="3">
        <v>-12.5</v>
      </c>
    </row>
    <row r="16" spans="1:4">
      <c r="A16" s="3">
        <v>12</v>
      </c>
      <c r="B16" s="3">
        <v>10</v>
      </c>
      <c r="C16" s="3">
        <v>44.5</v>
      </c>
      <c r="D16" s="3">
        <v>-15.6</v>
      </c>
    </row>
    <row r="19" spans="1:8">
      <c r="A19" s="5" t="s">
        <v>795</v>
      </c>
    </row>
    <row r="20" spans="1:8">
      <c r="A20" s="2" t="s">
        <v>796</v>
      </c>
      <c r="B20" s="2" t="s">
        <v>797</v>
      </c>
      <c r="C20" s="2" t="s">
        <v>798</v>
      </c>
      <c r="D20" s="2" t="s">
        <v>799</v>
      </c>
      <c r="E20" s="2" t="s">
        <v>800</v>
      </c>
      <c r="F20" s="2" t="s">
        <v>801</v>
      </c>
      <c r="G20" s="2" t="s">
        <v>802</v>
      </c>
      <c r="H20" s="2" t="s">
        <v>803</v>
      </c>
    </row>
    <row r="21" spans="1:8">
      <c r="A21" s="3" t="s">
        <v>804</v>
      </c>
      <c r="B21" s="9">
        <v>2947749.434785041</v>
      </c>
      <c r="C21" s="9">
        <v>-393545.1982870694</v>
      </c>
      <c r="D21" s="9">
        <v>816687.1039814769</v>
      </c>
      <c r="E21" s="9">
        <v>126000</v>
      </c>
      <c r="F21" s="9">
        <v>102000</v>
      </c>
      <c r="G21" s="9">
        <v>552000</v>
      </c>
      <c r="H21" s="9">
        <v>-1173545.198287069</v>
      </c>
    </row>
    <row r="22" spans="1:8">
      <c r="A22" s="3" t="s">
        <v>805</v>
      </c>
      <c r="B22" s="9">
        <v>6028897.86231555</v>
      </c>
      <c r="C22" s="9">
        <v>866711.034872836</v>
      </c>
      <c r="D22" s="9">
        <v>0</v>
      </c>
      <c r="E22" s="9">
        <v>128500</v>
      </c>
      <c r="F22" s="9">
        <v>102000</v>
      </c>
      <c r="G22" s="9">
        <v>552000</v>
      </c>
      <c r="H22" s="9">
        <v>84211.03487283597</v>
      </c>
    </row>
    <row r="23" spans="1:8">
      <c r="A23" s="3" t="s">
        <v>806</v>
      </c>
      <c r="B23" s="9">
        <v>7952877.644146012</v>
      </c>
      <c r="C23" s="9">
        <v>1145638.765259585</v>
      </c>
      <c r="D23" s="9">
        <v>0</v>
      </c>
      <c r="E23" s="9">
        <v>136125</v>
      </c>
      <c r="F23" s="9">
        <v>102000</v>
      </c>
      <c r="G23" s="9">
        <v>552000</v>
      </c>
      <c r="H23" s="9">
        <v>355513.7652595846</v>
      </c>
    </row>
    <row r="24" spans="1:8">
      <c r="A24" s="3" t="s">
        <v>807</v>
      </c>
      <c r="B24" s="9">
        <v>10513151.91220756</v>
      </c>
      <c r="C24" s="9">
        <v>1568435.88397561</v>
      </c>
      <c r="D24" s="9">
        <v>0</v>
      </c>
      <c r="E24" s="9">
        <v>143500</v>
      </c>
      <c r="F24" s="9">
        <v>102000</v>
      </c>
      <c r="G24" s="9">
        <v>552000</v>
      </c>
      <c r="H24" s="9">
        <v>770935.8839756097</v>
      </c>
    </row>
    <row r="27" spans="1:8">
      <c r="A27" s="5" t="s">
        <v>808</v>
      </c>
    </row>
    <row r="28" spans="1:8">
      <c r="A28" s="2" t="s">
        <v>809</v>
      </c>
      <c r="B28" s="2" t="s">
        <v>642</v>
      </c>
      <c r="C28" s="2" t="s">
        <v>601</v>
      </c>
      <c r="D28" s="2" t="s">
        <v>810</v>
      </c>
    </row>
    <row r="29" spans="1:8">
      <c r="A29" s="3" t="s">
        <v>811</v>
      </c>
      <c r="B29" s="9">
        <v>-3883320.341932978</v>
      </c>
      <c r="C29" s="9">
        <v>8724146.533674978</v>
      </c>
      <c r="D29" s="9">
        <v>12607466.87560796</v>
      </c>
    </row>
    <row r="30" spans="1:8">
      <c r="A30" s="3" t="s">
        <v>812</v>
      </c>
      <c r="B30" s="9">
        <v>-696706.7828673571</v>
      </c>
      <c r="C30" s="9">
        <v>696706.782867359</v>
      </c>
      <c r="D30" s="9">
        <v>1393413.565734716</v>
      </c>
    </row>
    <row r="31" spans="1:8">
      <c r="A31" s="3" t="s">
        <v>813</v>
      </c>
      <c r="B31" s="9">
        <v>-573749.281388849</v>
      </c>
      <c r="C31" s="9">
        <v>392717.1586720832</v>
      </c>
      <c r="D31" s="9">
        <v>966466.4400609322</v>
      </c>
    </row>
    <row r="32" spans="1:8">
      <c r="A32" s="3" t="s">
        <v>814</v>
      </c>
      <c r="B32" s="9">
        <v>-370329.6047439873</v>
      </c>
      <c r="C32" s="9">
        <v>370329.6047439873</v>
      </c>
      <c r="D32" s="9">
        <v>740659.2094879746</v>
      </c>
    </row>
    <row r="33" spans="1:4">
      <c r="A33" s="3" t="s">
        <v>815</v>
      </c>
      <c r="B33" s="9">
        <v>-345033.4354153527</v>
      </c>
      <c r="C33" s="9">
        <v>147871.4723208658</v>
      </c>
      <c r="D33" s="9">
        <v>492904.9077362185</v>
      </c>
    </row>
    <row r="34" spans="1:4">
      <c r="A34" s="3" t="s">
        <v>816</v>
      </c>
      <c r="B34" s="9">
        <v>-59253.48221176304</v>
      </c>
      <c r="C34" s="9">
        <v>59253.48221176211</v>
      </c>
      <c r="D34" s="9">
        <v>118506.9644235251</v>
      </c>
    </row>
    <row r="35" spans="1:4">
      <c r="A35" s="3" t="s">
        <v>817</v>
      </c>
      <c r="B35" s="9">
        <v>-6837.809590671211</v>
      </c>
      <c r="C35" s="9">
        <v>6837.809590671211</v>
      </c>
      <c r="D35" s="9">
        <v>13675.61918134242</v>
      </c>
    </row>
    <row r="36" spans="1:4">
      <c r="A36" s="3" t="s">
        <v>818</v>
      </c>
      <c r="B36" s="9">
        <v>0</v>
      </c>
      <c r="C36" s="9">
        <v>0</v>
      </c>
      <c r="D36" s="9">
        <v>0</v>
      </c>
    </row>
    <row r="39" spans="1:4">
      <c r="A39" s="5" t="s">
        <v>819</v>
      </c>
    </row>
    <row r="40" spans="1:4">
      <c r="A40" s="2" t="s">
        <v>809</v>
      </c>
      <c r="B40" s="2" t="s">
        <v>642</v>
      </c>
      <c r="C40" s="2" t="s">
        <v>601</v>
      </c>
      <c r="D40" s="2" t="s">
        <v>810</v>
      </c>
    </row>
    <row r="41" spans="1:4">
      <c r="A41" s="3" t="s">
        <v>811</v>
      </c>
      <c r="B41" s="9">
        <v>-1162756.658040311</v>
      </c>
      <c r="C41" s="9">
        <v>1475391.004262064</v>
      </c>
      <c r="D41" s="9">
        <v>2638147.662302376</v>
      </c>
    </row>
    <row r="42" spans="1:4">
      <c r="A42" s="3" t="s">
        <v>818</v>
      </c>
      <c r="B42" s="9">
        <v>-238586.3293243803</v>
      </c>
      <c r="C42" s="9">
        <v>238586.3293243807</v>
      </c>
      <c r="D42" s="9">
        <v>477172.658648761</v>
      </c>
    </row>
    <row r="43" spans="1:4">
      <c r="A43" s="3" t="s">
        <v>812</v>
      </c>
      <c r="B43" s="9">
        <v>-100536.6766392108</v>
      </c>
      <c r="C43" s="9">
        <v>117825.6717678087</v>
      </c>
      <c r="D43" s="9">
        <v>218362.3484070195</v>
      </c>
    </row>
    <row r="44" spans="1:4">
      <c r="A44" s="3" t="s">
        <v>813</v>
      </c>
      <c r="B44" s="9">
        <v>-75937.39220832731</v>
      </c>
      <c r="C44" s="9">
        <v>51532.57380081271</v>
      </c>
      <c r="D44" s="9">
        <v>127469.96600914</v>
      </c>
    </row>
    <row r="45" spans="1:4">
      <c r="A45" s="3" t="s">
        <v>814</v>
      </c>
      <c r="B45" s="9">
        <v>-53494.70881981077</v>
      </c>
      <c r="C45" s="9">
        <v>62649.37160950946</v>
      </c>
      <c r="D45" s="9">
        <v>116144.0804293202</v>
      </c>
    </row>
    <row r="46" spans="1:4">
      <c r="A46" s="3" t="s">
        <v>815</v>
      </c>
      <c r="B46" s="9">
        <v>-49414.80876279273</v>
      </c>
      <c r="C46" s="9">
        <v>23907.30713722506</v>
      </c>
      <c r="D46" s="9">
        <v>73322.11590001779</v>
      </c>
    </row>
    <row r="47" spans="1:4">
      <c r="A47" s="3" t="s">
        <v>816</v>
      </c>
      <c r="B47" s="9">
        <v>-8610.125086435815</v>
      </c>
      <c r="C47" s="9">
        <v>10019.83339744876</v>
      </c>
      <c r="D47" s="9">
        <v>18629.95848388458</v>
      </c>
    </row>
    <row r="48" spans="1:4">
      <c r="A48" s="3" t="s">
        <v>817</v>
      </c>
      <c r="B48" s="9">
        <v>-1061.729159764713</v>
      </c>
      <c r="C48" s="9">
        <v>1156.281628430821</v>
      </c>
      <c r="D48" s="9">
        <v>2218.010788195534</v>
      </c>
    </row>
    <row r="51" spans="1:8">
      <c r="A51" s="5" t="s">
        <v>820</v>
      </c>
    </row>
    <row r="52" spans="1:8">
      <c r="A52" s="2" t="s">
        <v>821</v>
      </c>
      <c r="B52" s="2" t="s">
        <v>822</v>
      </c>
      <c r="C52" s="2" t="s">
        <v>823</v>
      </c>
      <c r="D52" s="2" t="s">
        <v>824</v>
      </c>
      <c r="E52" s="2" t="s">
        <v>825</v>
      </c>
      <c r="F52" s="2" t="s">
        <v>826</v>
      </c>
      <c r="G52" s="2" t="s">
        <v>827</v>
      </c>
      <c r="H52" s="2" t="s">
        <v>828</v>
      </c>
    </row>
    <row r="53" spans="1:8">
      <c r="A53" s="3" t="s">
        <v>797</v>
      </c>
      <c r="B53" s="9">
        <v>9227871.673708115</v>
      </c>
      <c r="C53" s="9">
        <v>8017195.560813414</v>
      </c>
      <c r="D53" s="9">
        <v>4156769.397369315</v>
      </c>
      <c r="E53" s="9">
        <v>3466484.406902581</v>
      </c>
      <c r="F53" s="9">
        <v>3281604.284188513</v>
      </c>
      <c r="G53" s="9">
        <v>-1229927.326580362</v>
      </c>
      <c r="H53" s="9">
        <v>1.249923976356527</v>
      </c>
    </row>
    <row r="54" spans="1:8">
      <c r="A54" s="3" t="s">
        <v>803</v>
      </c>
      <c r="B54" s="9">
        <v>492821.6811922063</v>
      </c>
      <c r="C54" s="9">
        <v>369184.3222649993</v>
      </c>
      <c r="D54" s="9">
        <v>-771947.1310539865</v>
      </c>
      <c r="E54" s="9">
        <v>-624459.3080662077</v>
      </c>
      <c r="F54" s="9">
        <v>-1103680.314523212</v>
      </c>
      <c r="G54" s="9">
        <v>-1535214.184375715</v>
      </c>
      <c r="H54" s="9">
        <v>0.5748713519845083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cols>
    <col min="1" max="1" width="30.7109375" customWidth="1"/>
    <col min="2" max="11" width="15.7109375" customWidth="1"/>
  </cols>
  <sheetData>
    <row r="1" spans="1:10">
      <c r="A1" s="1" t="s">
        <v>829</v>
      </c>
    </row>
    <row r="3" spans="1:10">
      <c r="A3" s="2" t="s">
        <v>830</v>
      </c>
      <c r="B3" s="13" t="s">
        <v>831</v>
      </c>
    </row>
    <row r="4" spans="1:10">
      <c r="A4" s="2" t="s">
        <v>832</v>
      </c>
      <c r="B4" s="6">
        <v>12</v>
      </c>
    </row>
    <row r="7" spans="1:10">
      <c r="A7" s="2" t="s">
        <v>833</v>
      </c>
      <c r="B7" s="2" t="s">
        <v>834</v>
      </c>
      <c r="C7" s="2" t="s">
        <v>835</v>
      </c>
      <c r="D7" s="2" t="s">
        <v>836</v>
      </c>
      <c r="E7" s="2" t="s">
        <v>837</v>
      </c>
      <c r="F7" s="2" t="s">
        <v>838</v>
      </c>
    </row>
    <row r="8" spans="1:10">
      <c r="A8" s="3" t="s">
        <v>839</v>
      </c>
      <c r="B8" s="6">
        <v>30000</v>
      </c>
      <c r="C8" s="14">
        <v>0.18</v>
      </c>
      <c r="D8" s="14">
        <v>0.67</v>
      </c>
      <c r="E8" s="14">
        <v>0.15</v>
      </c>
      <c r="F8" s="15">
        <f>SUM(C8:E8)</f>
        <v>1.0</v>
      </c>
    </row>
    <row r="9" spans="1:10">
      <c r="A9" s="3" t="s">
        <v>840</v>
      </c>
      <c r="B9" s="6">
        <v>12000</v>
      </c>
      <c r="C9" s="14">
        <v>0.2</v>
      </c>
      <c r="D9" s="14">
        <v>0.55</v>
      </c>
      <c r="E9" s="14">
        <v>0.25</v>
      </c>
      <c r="F9" s="15">
        <f>SUM(C9:E9)</f>
        <v>1.0</v>
      </c>
    </row>
    <row r="10" spans="1:10">
      <c r="A10" s="3" t="s">
        <v>841</v>
      </c>
      <c r="B10" s="6">
        <v>4000</v>
      </c>
      <c r="C10" s="14">
        <v>0.35</v>
      </c>
      <c r="D10" s="14">
        <v>0.55</v>
      </c>
      <c r="E10" s="14">
        <v>0.1</v>
      </c>
      <c r="F10" s="15">
        <f>SUM(C10:E10)</f>
        <v>1.0</v>
      </c>
    </row>
    <row r="11" spans="1:10">
      <c r="A11" s="10" t="s">
        <v>842</v>
      </c>
      <c r="B11" s="10">
        <f>SUM(B8:B10)*$B$4</f>
        <v>0</v>
      </c>
    </row>
    <row r="13" spans="1:10">
      <c r="A13" s="2" t="s">
        <v>843</v>
      </c>
      <c r="B13" s="2" t="s">
        <v>844</v>
      </c>
      <c r="C13" s="2" t="s">
        <v>845</v>
      </c>
      <c r="D13" s="2" t="s">
        <v>846</v>
      </c>
      <c r="E13" s="2" t="s">
        <v>847</v>
      </c>
      <c r="F13" s="2" t="s">
        <v>848</v>
      </c>
      <c r="G13" s="2" t="s">
        <v>849</v>
      </c>
      <c r="H13" s="2" t="s">
        <v>850</v>
      </c>
      <c r="I13" s="2" t="s">
        <v>851</v>
      </c>
      <c r="J13" s="2" t="s">
        <v>852</v>
      </c>
    </row>
    <row r="14" spans="1:10">
      <c r="A14" s="3" t="s">
        <v>853</v>
      </c>
      <c r="B14" s="9">
        <v>5114042.024102089</v>
      </c>
      <c r="C14" s="9">
        <v>738761.5926746476</v>
      </c>
      <c r="D14" s="6">
        <v>1000</v>
      </c>
      <c r="E14" s="9">
        <f>D14*$B$4</f>
        <v>0</v>
      </c>
      <c r="F14" s="9">
        <f>C14-E14</f>
        <v>0</v>
      </c>
      <c r="G14" s="9">
        <f>MAX(C14,0)/SUMPRODUCT((C$14:C$16&gt;0)*C$14:C$16)*$B$11</f>
        <v>0</v>
      </c>
      <c r="H14" s="9">
        <f>SUMPRODUCT($B$8:$B$10,C$8:C$10)*$B$4</f>
        <v>0</v>
      </c>
      <c r="I14" s="9">
        <f>IF($B$3="Revenue",G14,H14)</f>
        <v>0</v>
      </c>
      <c r="J14" s="9">
        <f>F14-I14</f>
        <v>0</v>
      </c>
    </row>
    <row r="15" spans="1:10">
      <c r="A15" s="3" t="s">
        <v>854</v>
      </c>
      <c r="B15" s="9">
        <v>1474047.142662579</v>
      </c>
      <c r="C15" s="9">
        <v>213345.6403914188</v>
      </c>
      <c r="D15" s="6">
        <v>5000</v>
      </c>
      <c r="E15" s="9">
        <f>D15*$B$4</f>
        <v>0</v>
      </c>
      <c r="F15" s="9">
        <f>C15-E15</f>
        <v>0</v>
      </c>
      <c r="G15" s="9">
        <f>MAX(C15,0)/SUMPRODUCT((C$14:C$16&gt;0)*C$14:C$16)*$B$11</f>
        <v>0</v>
      </c>
      <c r="H15" s="9">
        <f>SUMPRODUCT($B$8:$B$10,D$8:D$10)*$B$4</f>
        <v>0</v>
      </c>
      <c r="I15" s="9">
        <f>IF($B$3="Revenue",G15,H15)</f>
        <v>0</v>
      </c>
      <c r="J15" s="9">
        <f>F15-I15</f>
        <v>0</v>
      </c>
    </row>
    <row r="16" spans="1:10">
      <c r="A16" s="3" t="s">
        <v>855</v>
      </c>
      <c r="B16" s="9">
        <v>993369.8772086184</v>
      </c>
      <c r="C16" s="9">
        <v>142232.1923695007</v>
      </c>
      <c r="D16" s="6">
        <v>2500</v>
      </c>
      <c r="E16" s="9">
        <f>D16*$B$4</f>
        <v>0</v>
      </c>
      <c r="F16" s="9">
        <f>C16-E16</f>
        <v>0</v>
      </c>
      <c r="G16" s="9">
        <f>MAX(C16,0)/SUMPRODUCT((C$14:C$16&gt;0)*C$14:C$16)*$B$11</f>
        <v>0</v>
      </c>
      <c r="H16" s="9">
        <f>SUMPRODUCT($B$8:$B$10,E$8:E$10)*$B$4</f>
        <v>0</v>
      </c>
      <c r="I16" s="9">
        <f>IF($B$3="Revenue",G16,H16)</f>
        <v>0</v>
      </c>
      <c r="J16" s="9">
        <f>F16-I16</f>
        <v>0</v>
      </c>
    </row>
    <row r="17" spans="1:10">
      <c r="A17" s="10" t="s">
        <v>174</v>
      </c>
      <c r="B17" s="10">
        <f>SUM(B14:B16)</f>
        <v>0</v>
      </c>
      <c r="C17" s="10">
        <f>SUM(C14:C16)</f>
        <v>0</v>
      </c>
      <c r="E17" s="10">
        <f>SUM(E14:E16)</f>
        <v>0</v>
      </c>
      <c r="F17" s="10">
        <f>SUM(F14:F16)</f>
        <v>0</v>
      </c>
      <c r="G17" s="10">
        <f>SUM(G14:G16)</f>
        <v>0</v>
      </c>
      <c r="H17" s="10">
        <f>SUM(H14:H16)</f>
        <v>0</v>
      </c>
      <c r="I17" s="10">
        <f>SUM(I14:I16)</f>
        <v>0</v>
      </c>
      <c r="J17" s="10">
        <f>SUM(J14:J16)</f>
        <v>0</v>
      </c>
    </row>
    <row r="20" spans="1:10">
      <c r="A20" s="2" t="s">
        <v>856</v>
      </c>
      <c r="B20" s="2" t="s">
        <v>159</v>
      </c>
      <c r="C20" s="2" t="s">
        <v>588</v>
      </c>
      <c r="D20" s="2" t="s">
        <v>71</v>
      </c>
      <c r="E20" s="2" t="s">
        <v>857</v>
      </c>
      <c r="F20" s="2" t="s">
        <v>798</v>
      </c>
      <c r="G20" s="2" t="s">
        <v>858</v>
      </c>
      <c r="H20" s="2" t="s">
        <v>800</v>
      </c>
      <c r="I20" s="2" t="s">
        <v>867</v>
      </c>
      <c r="J20" s="2" t="s">
        <v>868</v>
      </c>
    </row>
    <row r="21" spans="1:10">
      <c r="A21" s="3" t="s">
        <v>859</v>
      </c>
      <c r="B21" s="3" t="s">
        <v>168</v>
      </c>
      <c r="C21" s="3" t="s">
        <v>860</v>
      </c>
      <c r="D21" s="3">
        <v>60</v>
      </c>
      <c r="E21" s="3" t="s">
        <v>861</v>
      </c>
      <c r="F21" s="9">
        <v>690251.4005906177</v>
      </c>
      <c r="G21" s="9">
        <v>-0</v>
      </c>
      <c r="H21" s="9">
        <v>29979.46611909651</v>
      </c>
      <c r="I21" s="9">
        <f>F21-H21</f>
        <v>0</v>
      </c>
      <c r="J21" s="9">
        <f>H21/D21</f>
        <v>0</v>
      </c>
    </row>
    <row r="22" spans="1:10">
      <c r="A22" s="3" t="s">
        <v>862</v>
      </c>
      <c r="B22" s="3" t="s">
        <v>169</v>
      </c>
      <c r="C22" s="3" t="s">
        <v>863</v>
      </c>
      <c r="D22" s="3">
        <v>30</v>
      </c>
      <c r="E22" s="3" t="s">
        <v>864</v>
      </c>
      <c r="F22" s="9">
        <v>304724.3617239334</v>
      </c>
      <c r="G22" s="9">
        <v>-0</v>
      </c>
      <c r="H22" s="9">
        <v>59958.93223819302</v>
      </c>
      <c r="I22" s="9">
        <f>F22-H22</f>
        <v>0</v>
      </c>
      <c r="J22" s="9">
        <f>H22/D22</f>
        <v>0</v>
      </c>
    </row>
    <row r="23" spans="1:10">
      <c r="A23" s="3" t="s">
        <v>865</v>
      </c>
      <c r="B23" s="3" t="s">
        <v>170</v>
      </c>
      <c r="C23" s="3" t="s">
        <v>860</v>
      </c>
      <c r="D23" s="3">
        <v>10</v>
      </c>
      <c r="E23" s="3" t="s">
        <v>866</v>
      </c>
      <c r="F23" s="9">
        <v>99363.66312101619</v>
      </c>
      <c r="G23" s="9">
        <v>-0</v>
      </c>
      <c r="H23" s="9">
        <v>35975.35934291581</v>
      </c>
      <c r="I23" s="9">
        <f>F23-H23</f>
        <v>0</v>
      </c>
      <c r="J23" s="9">
        <f>H23/D23</f>
        <v>0</v>
      </c>
    </row>
  </sheetData>
  <conditionalFormatting sqref="J14:J16">
    <cfRule type="cellIs" dxfId="0" priority="1" operator="lessThan">
      <formula>0</formula>
    </cfRule>
  </conditionalFormatting>
  <dataValidations count="1">
    <dataValidation type="list" allowBlank="1" showInputMessage="1" showErrorMessage="1" sqref="B3">
      <formula1>"Activity,Revenue"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2" width="12.7109375" customWidth="1"/>
    <col min="3" max="3" width="100.7109375" customWidth="1"/>
  </cols>
  <sheetData>
    <row r="1" spans="1:3">
      <c r="A1" s="1" t="s">
        <v>869</v>
      </c>
    </row>
    <row r="3" spans="1:3">
      <c r="A3" s="2" t="s">
        <v>147</v>
      </c>
      <c r="B3" s="2" t="s">
        <v>870</v>
      </c>
      <c r="C3" s="2" t="s">
        <v>871</v>
      </c>
    </row>
    <row r="4" spans="1:3">
      <c r="A4" s="12">
        <v>46315</v>
      </c>
      <c r="B4" s="3" t="s">
        <v>872</v>
      </c>
      <c r="C4" s="3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Checks</vt:lpstr>
      <vt:lpstr>README</vt:lpstr>
      <vt:lpstr>Inputs</vt:lpstr>
      <vt:lpstr>Monthly_Actuals</vt:lpstr>
      <vt:lpstr>Bridge</vt:lpstr>
      <vt:lpstr>Interval_Count</vt:lpstr>
      <vt:lpstr>Recon_Daily</vt:lpstr>
      <vt:lpstr>Break_Register</vt:lpstr>
      <vt:lpstr>Scenarios</vt:lpstr>
      <vt:lpstr>Product_PnL</vt:lpstr>
      <vt:lpstr>Change_Log</vt:lpstr>
      <vt:lpstr>mat_eur</vt:lpstr>
      <vt:lpstr>mat_pct</vt:lpstr>
      <vt:lpstr>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2026-10-26T09:22:19Z</dcterms:created>
  <dcterms:modified xsi:type="dcterms:W3CDTF">2026-10-26T09:22:19Z</dcterms:modified>
</cp:coreProperties>
</file>